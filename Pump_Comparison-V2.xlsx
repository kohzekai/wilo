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zekai_koh_wilo_com/Documents/Documents/Pump Comparison/V2/"/>
    </mc:Choice>
  </mc:AlternateContent>
  <xr:revisionPtr revIDLastSave="5089" documentId="13_ncr:1_{3D5AC860-2CB3-4375-BD29-0509C68C9DA9}" xr6:coauthVersionLast="47" xr6:coauthVersionMax="47" xr10:uidLastSave="{0710894D-4F84-41F5-9D38-51F369E11525}"/>
  <bookViews>
    <workbookView xWindow="28680" yWindow="-120" windowWidth="29040" windowHeight="15720" activeTab="2" xr2:uid="{6046A6BB-A8F7-4232-AD2C-B3A6FDBB333D}"/>
  </bookViews>
  <sheets>
    <sheet name="Chilled Water Pump (349)" sheetId="1" r:id="rId1"/>
    <sheet name="Condenser Water Pump (301)" sheetId="8" r:id="rId2"/>
    <sheet name="Pump Heads Selection" sheetId="9" r:id="rId3"/>
    <sheet name="WEG Motor" sheetId="6" r:id="rId4"/>
  </sheets>
  <definedNames>
    <definedName name="_xlnm._FilterDatabase" localSheetId="0" hidden="1">'Chilled Water Pump (349)'!$A$1:$AB$1</definedName>
    <definedName name="_xlnm._FilterDatabase" localSheetId="1" hidden="1">'Condenser Water Pump (301)'!$A$1:$AB$1</definedName>
    <definedName name="_xlnm._FilterDatabase" localSheetId="2" hidden="1">'Pump Heads Selection'!$E$2:$BR$142</definedName>
    <definedName name="Poles">'WEG Motor'!$B$2:$C$2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42" i="9" l="1"/>
  <c r="AZ142" i="9"/>
  <c r="AO142" i="9"/>
  <c r="AD142" i="9"/>
  <c r="S142" i="9"/>
  <c r="H142" i="9"/>
  <c r="BK141" i="9"/>
  <c r="AZ141" i="9"/>
  <c r="AO141" i="9"/>
  <c r="AD141" i="9"/>
  <c r="S141" i="9"/>
  <c r="H141" i="9"/>
  <c r="BK140" i="9"/>
  <c r="AZ140" i="9"/>
  <c r="AO140" i="9"/>
  <c r="AD140" i="9"/>
  <c r="S140" i="9"/>
  <c r="L140" i="9"/>
  <c r="H140" i="9"/>
  <c r="BK139" i="9"/>
  <c r="AZ139" i="9"/>
  <c r="AO139" i="9"/>
  <c r="AD139" i="9"/>
  <c r="S139" i="9"/>
  <c r="H139" i="9"/>
  <c r="BK138" i="9"/>
  <c r="AZ138" i="9"/>
  <c r="AO138" i="9"/>
  <c r="AD138" i="9"/>
  <c r="S138" i="9"/>
  <c r="H138" i="9"/>
  <c r="BK137" i="9"/>
  <c r="AZ137" i="9"/>
  <c r="AO137" i="9"/>
  <c r="AD137" i="9"/>
  <c r="S137" i="9"/>
  <c r="H137" i="9"/>
  <c r="BK136" i="9"/>
  <c r="AZ136" i="9"/>
  <c r="AO136" i="9"/>
  <c r="AD136" i="9"/>
  <c r="S136" i="9"/>
  <c r="H136" i="9"/>
  <c r="C136" i="9"/>
  <c r="BO142" i="9" s="1"/>
  <c r="BP142" i="9" s="1"/>
  <c r="BQ142" i="9" s="1"/>
  <c r="BK135" i="9"/>
  <c r="AZ135" i="9"/>
  <c r="AO135" i="9"/>
  <c r="AD135" i="9"/>
  <c r="S135" i="9"/>
  <c r="H135" i="9"/>
  <c r="BK134" i="9"/>
  <c r="AZ134" i="9"/>
  <c r="AO134" i="9"/>
  <c r="AD134" i="9"/>
  <c r="S134" i="9"/>
  <c r="H134" i="9"/>
  <c r="BK133" i="9"/>
  <c r="AZ133" i="9"/>
  <c r="AO133" i="9"/>
  <c r="AD133" i="9"/>
  <c r="S133" i="9"/>
  <c r="L133" i="9"/>
  <c r="H133" i="9"/>
  <c r="BK132" i="9"/>
  <c r="AZ132" i="9"/>
  <c r="AO132" i="9"/>
  <c r="AD132" i="9"/>
  <c r="S132" i="9"/>
  <c r="H132" i="9"/>
  <c r="BK131" i="9"/>
  <c r="AZ131" i="9"/>
  <c r="AO131" i="9"/>
  <c r="AD131" i="9"/>
  <c r="S131" i="9"/>
  <c r="H131" i="9"/>
  <c r="BK130" i="9"/>
  <c r="AZ130" i="9"/>
  <c r="AO130" i="9"/>
  <c r="AD130" i="9"/>
  <c r="S130" i="9"/>
  <c r="H130" i="9"/>
  <c r="BK129" i="9"/>
  <c r="AZ129" i="9"/>
  <c r="AO129" i="9"/>
  <c r="AD129" i="9"/>
  <c r="S129" i="9"/>
  <c r="H129" i="9"/>
  <c r="C129" i="9"/>
  <c r="BO135" i="9" s="1"/>
  <c r="BP135" i="9" s="1"/>
  <c r="BQ135" i="9" s="1"/>
  <c r="BK128" i="9"/>
  <c r="AZ128" i="9"/>
  <c r="AO128" i="9"/>
  <c r="AD128" i="9"/>
  <c r="S128" i="9"/>
  <c r="H128" i="9"/>
  <c r="BK127" i="9"/>
  <c r="AZ127" i="9"/>
  <c r="AO127" i="9"/>
  <c r="AD127" i="9"/>
  <c r="S127" i="9"/>
  <c r="H127" i="9"/>
  <c r="BK126" i="9"/>
  <c r="AZ126" i="9"/>
  <c r="AO126" i="9"/>
  <c r="AD126" i="9"/>
  <c r="S126" i="9"/>
  <c r="L126" i="9"/>
  <c r="H126" i="9"/>
  <c r="BK125" i="9"/>
  <c r="AZ125" i="9"/>
  <c r="AO125" i="9"/>
  <c r="AD125" i="9"/>
  <c r="S125" i="9"/>
  <c r="H125" i="9"/>
  <c r="BK124" i="9"/>
  <c r="AZ124" i="9"/>
  <c r="AO124" i="9"/>
  <c r="AD124" i="9"/>
  <c r="S124" i="9"/>
  <c r="H124" i="9"/>
  <c r="BK123" i="9"/>
  <c r="AZ123" i="9"/>
  <c r="AO123" i="9"/>
  <c r="AD123" i="9"/>
  <c r="S123" i="9"/>
  <c r="H123" i="9"/>
  <c r="BK122" i="9"/>
  <c r="AZ122" i="9"/>
  <c r="AO122" i="9"/>
  <c r="AD122" i="9"/>
  <c r="S122" i="9"/>
  <c r="H122" i="9"/>
  <c r="C122" i="9"/>
  <c r="BO128" i="9" s="1"/>
  <c r="BK121" i="9"/>
  <c r="AZ121" i="9"/>
  <c r="AO121" i="9"/>
  <c r="AD121" i="9"/>
  <c r="S121" i="9"/>
  <c r="H121" i="9"/>
  <c r="BK120" i="9"/>
  <c r="AZ120" i="9"/>
  <c r="AO120" i="9"/>
  <c r="AD120" i="9"/>
  <c r="S120" i="9"/>
  <c r="H120" i="9"/>
  <c r="BK119" i="9"/>
  <c r="AZ119" i="9"/>
  <c r="AO119" i="9"/>
  <c r="AD119" i="9"/>
  <c r="S119" i="9"/>
  <c r="L119" i="9"/>
  <c r="H119" i="9"/>
  <c r="BK118" i="9"/>
  <c r="AZ118" i="9"/>
  <c r="AO118" i="9"/>
  <c r="AD118" i="9"/>
  <c r="S118" i="9"/>
  <c r="H118" i="9"/>
  <c r="BK117" i="9"/>
  <c r="AZ117" i="9"/>
  <c r="AO117" i="9"/>
  <c r="AD117" i="9"/>
  <c r="S117" i="9"/>
  <c r="H117" i="9"/>
  <c r="BK116" i="9"/>
  <c r="AZ116" i="9"/>
  <c r="AO116" i="9"/>
  <c r="AD116" i="9"/>
  <c r="S116" i="9"/>
  <c r="H116" i="9"/>
  <c r="BK115" i="9"/>
  <c r="AZ115" i="9"/>
  <c r="AO115" i="9"/>
  <c r="AD115" i="9"/>
  <c r="S115" i="9"/>
  <c r="H115" i="9"/>
  <c r="C115" i="9"/>
  <c r="BD121" i="9" s="1"/>
  <c r="BK114" i="9"/>
  <c r="AZ114" i="9"/>
  <c r="AO114" i="9"/>
  <c r="AD114" i="9"/>
  <c r="S114" i="9"/>
  <c r="H114" i="9"/>
  <c r="BK113" i="9"/>
  <c r="AZ113" i="9"/>
  <c r="AO113" i="9"/>
  <c r="AD113" i="9"/>
  <c r="S113" i="9"/>
  <c r="H113" i="9"/>
  <c r="BK112" i="9"/>
  <c r="AZ112" i="9"/>
  <c r="AO112" i="9"/>
  <c r="AD112" i="9"/>
  <c r="S112" i="9"/>
  <c r="L112" i="9"/>
  <c r="H112" i="9"/>
  <c r="BK111" i="9"/>
  <c r="AZ111" i="9"/>
  <c r="AO111" i="9"/>
  <c r="AD111" i="9"/>
  <c r="S111" i="9"/>
  <c r="H111" i="9"/>
  <c r="BK110" i="9"/>
  <c r="AZ110" i="9"/>
  <c r="AO110" i="9"/>
  <c r="AD110" i="9"/>
  <c r="S110" i="9"/>
  <c r="H110" i="9"/>
  <c r="BK109" i="9"/>
  <c r="AZ109" i="9"/>
  <c r="AO109" i="9"/>
  <c r="AD109" i="9"/>
  <c r="S109" i="9"/>
  <c r="H109" i="9"/>
  <c r="BK108" i="9"/>
  <c r="AZ108" i="9"/>
  <c r="AO108" i="9"/>
  <c r="AD108" i="9"/>
  <c r="S108" i="9"/>
  <c r="H108" i="9"/>
  <c r="C108" i="9"/>
  <c r="BO114" i="9" s="1"/>
  <c r="BK107" i="9"/>
  <c r="AZ107" i="9"/>
  <c r="AO107" i="9"/>
  <c r="AD107" i="9"/>
  <c r="S107" i="9"/>
  <c r="H107" i="9"/>
  <c r="BK106" i="9"/>
  <c r="AZ106" i="9"/>
  <c r="AO106" i="9"/>
  <c r="AD106" i="9"/>
  <c r="S106" i="9"/>
  <c r="H106" i="9"/>
  <c r="BK105" i="9"/>
  <c r="AZ105" i="9"/>
  <c r="AO105" i="9"/>
  <c r="AD105" i="9"/>
  <c r="S105" i="9"/>
  <c r="L105" i="9"/>
  <c r="H105" i="9"/>
  <c r="BK104" i="9"/>
  <c r="AZ104" i="9"/>
  <c r="AO104" i="9"/>
  <c r="AD104" i="9"/>
  <c r="S104" i="9"/>
  <c r="H104" i="9"/>
  <c r="BK103" i="9"/>
  <c r="AZ103" i="9"/>
  <c r="AO103" i="9"/>
  <c r="AD103" i="9"/>
  <c r="S103" i="9"/>
  <c r="H103" i="9"/>
  <c r="BK102" i="9"/>
  <c r="AZ102" i="9"/>
  <c r="AO102" i="9"/>
  <c r="AD102" i="9"/>
  <c r="S102" i="9"/>
  <c r="H102" i="9"/>
  <c r="BK101" i="9"/>
  <c r="AZ101" i="9"/>
  <c r="AO101" i="9"/>
  <c r="AD101" i="9"/>
  <c r="S101" i="9"/>
  <c r="H101" i="9"/>
  <c r="C101" i="9"/>
  <c r="BO107" i="9" s="1"/>
  <c r="BK100" i="9"/>
  <c r="AZ100" i="9"/>
  <c r="AO100" i="9"/>
  <c r="AD100" i="9"/>
  <c r="S100" i="9"/>
  <c r="H100" i="9"/>
  <c r="BK99" i="9"/>
  <c r="AZ99" i="9"/>
  <c r="AO99" i="9"/>
  <c r="AD99" i="9"/>
  <c r="S99" i="9"/>
  <c r="H99" i="9"/>
  <c r="BK98" i="9"/>
  <c r="AZ98" i="9"/>
  <c r="AO98" i="9"/>
  <c r="AD98" i="9"/>
  <c r="S98" i="9"/>
  <c r="L98" i="9"/>
  <c r="H98" i="9"/>
  <c r="BK97" i="9"/>
  <c r="AZ97" i="9"/>
  <c r="AO97" i="9"/>
  <c r="AD97" i="9"/>
  <c r="S97" i="9"/>
  <c r="H97" i="9"/>
  <c r="BK96" i="9"/>
  <c r="AZ96" i="9"/>
  <c r="AO96" i="9"/>
  <c r="AD96" i="9"/>
  <c r="S96" i="9"/>
  <c r="H96" i="9"/>
  <c r="BK95" i="9"/>
  <c r="AZ95" i="9"/>
  <c r="AO95" i="9"/>
  <c r="AD95" i="9"/>
  <c r="S95" i="9"/>
  <c r="H95" i="9"/>
  <c r="BK94" i="9"/>
  <c r="AZ94" i="9"/>
  <c r="AO94" i="9"/>
  <c r="AD94" i="9"/>
  <c r="S94" i="9"/>
  <c r="H94" i="9"/>
  <c r="C94" i="9"/>
  <c r="BD100" i="9" s="1"/>
  <c r="BK93" i="9"/>
  <c r="AZ93" i="9"/>
  <c r="AO93" i="9"/>
  <c r="AD93" i="9"/>
  <c r="S93" i="9"/>
  <c r="H93" i="9"/>
  <c r="BK92" i="9"/>
  <c r="AZ92" i="9"/>
  <c r="AO92" i="9"/>
  <c r="AD92" i="9"/>
  <c r="S92" i="9"/>
  <c r="H92" i="9"/>
  <c r="BK91" i="9"/>
  <c r="AZ91" i="9"/>
  <c r="AO91" i="9"/>
  <c r="AD91" i="9"/>
  <c r="S91" i="9"/>
  <c r="L91" i="9"/>
  <c r="H91" i="9"/>
  <c r="BK90" i="9"/>
  <c r="AZ90" i="9"/>
  <c r="AO90" i="9"/>
  <c r="AD90" i="9"/>
  <c r="S90" i="9"/>
  <c r="H90" i="9"/>
  <c r="BK89" i="9"/>
  <c r="AZ89" i="9"/>
  <c r="AO89" i="9"/>
  <c r="AD89" i="9"/>
  <c r="S89" i="9"/>
  <c r="H89" i="9"/>
  <c r="BK88" i="9"/>
  <c r="AZ88" i="9"/>
  <c r="AO88" i="9"/>
  <c r="AD88" i="9"/>
  <c r="S88" i="9"/>
  <c r="H88" i="9"/>
  <c r="BK87" i="9"/>
  <c r="AZ87" i="9"/>
  <c r="AO87" i="9"/>
  <c r="AD87" i="9"/>
  <c r="S87" i="9"/>
  <c r="H87" i="9"/>
  <c r="C87" i="9"/>
  <c r="BO93" i="9" s="1"/>
  <c r="BK86" i="9"/>
  <c r="AZ86" i="9"/>
  <c r="AO86" i="9"/>
  <c r="AD86" i="9"/>
  <c r="S86" i="9"/>
  <c r="H86" i="9"/>
  <c r="BK85" i="9"/>
  <c r="AZ85" i="9"/>
  <c r="AO85" i="9"/>
  <c r="AD85" i="9"/>
  <c r="S85" i="9"/>
  <c r="H85" i="9"/>
  <c r="BK84" i="9"/>
  <c r="AZ84" i="9"/>
  <c r="AO84" i="9"/>
  <c r="AD84" i="9"/>
  <c r="S84" i="9"/>
  <c r="L84" i="9"/>
  <c r="H84" i="9"/>
  <c r="BK83" i="9"/>
  <c r="AZ83" i="9"/>
  <c r="AO83" i="9"/>
  <c r="AD83" i="9"/>
  <c r="S83" i="9"/>
  <c r="H83" i="9"/>
  <c r="BK82" i="9"/>
  <c r="AZ82" i="9"/>
  <c r="AO82" i="9"/>
  <c r="AD82" i="9"/>
  <c r="S82" i="9"/>
  <c r="H82" i="9"/>
  <c r="BK81" i="9"/>
  <c r="AZ81" i="9"/>
  <c r="AO81" i="9"/>
  <c r="AD81" i="9"/>
  <c r="S81" i="9"/>
  <c r="H81" i="9"/>
  <c r="BK80" i="9"/>
  <c r="AZ80" i="9"/>
  <c r="AO80" i="9"/>
  <c r="AD80" i="9"/>
  <c r="S80" i="9"/>
  <c r="H80" i="9"/>
  <c r="C80" i="9"/>
  <c r="BO86" i="9" s="1"/>
  <c r="BK79" i="9"/>
  <c r="AZ79" i="9"/>
  <c r="AO79" i="9"/>
  <c r="AD79" i="9"/>
  <c r="S79" i="9"/>
  <c r="H79" i="9"/>
  <c r="BK78" i="9"/>
  <c r="AZ78" i="9"/>
  <c r="AO78" i="9"/>
  <c r="AD78" i="9"/>
  <c r="S78" i="9"/>
  <c r="H78" i="9"/>
  <c r="BK77" i="9"/>
  <c r="AZ77" i="9"/>
  <c r="AO77" i="9"/>
  <c r="AD77" i="9"/>
  <c r="S77" i="9"/>
  <c r="L77" i="9"/>
  <c r="H77" i="9"/>
  <c r="BK76" i="9"/>
  <c r="AZ76" i="9"/>
  <c r="AO76" i="9"/>
  <c r="AD76" i="9"/>
  <c r="S76" i="9"/>
  <c r="H76" i="9"/>
  <c r="BK75" i="9"/>
  <c r="AZ75" i="9"/>
  <c r="AO75" i="9"/>
  <c r="AD75" i="9"/>
  <c r="S75" i="9"/>
  <c r="H75" i="9"/>
  <c r="BK74" i="9"/>
  <c r="AZ74" i="9"/>
  <c r="AO74" i="9"/>
  <c r="AD74" i="9"/>
  <c r="S74" i="9"/>
  <c r="H74" i="9"/>
  <c r="BK73" i="9"/>
  <c r="AZ73" i="9"/>
  <c r="AO73" i="9"/>
  <c r="AD73" i="9"/>
  <c r="S73" i="9"/>
  <c r="H73" i="9"/>
  <c r="C73" i="9"/>
  <c r="BD79" i="9" s="1"/>
  <c r="BK72" i="9"/>
  <c r="AZ72" i="9"/>
  <c r="AO72" i="9"/>
  <c r="AD72" i="9"/>
  <c r="S72" i="9"/>
  <c r="H72" i="9"/>
  <c r="BK71" i="9"/>
  <c r="AZ71" i="9"/>
  <c r="AO71" i="9"/>
  <c r="AD71" i="9"/>
  <c r="S71" i="9"/>
  <c r="H71" i="9"/>
  <c r="BK70" i="9"/>
  <c r="AZ70" i="9"/>
  <c r="AO70" i="9"/>
  <c r="AD70" i="9"/>
  <c r="S70" i="9"/>
  <c r="L70" i="9"/>
  <c r="H70" i="9"/>
  <c r="BK69" i="9"/>
  <c r="AZ69" i="9"/>
  <c r="AO69" i="9"/>
  <c r="AD69" i="9"/>
  <c r="S69" i="9"/>
  <c r="H69" i="9"/>
  <c r="BK68" i="9"/>
  <c r="AZ68" i="9"/>
  <c r="AO68" i="9"/>
  <c r="AD68" i="9"/>
  <c r="S68" i="9"/>
  <c r="H68" i="9"/>
  <c r="BK67" i="9"/>
  <c r="AZ67" i="9"/>
  <c r="AO67" i="9"/>
  <c r="AD67" i="9"/>
  <c r="S67" i="9"/>
  <c r="H67" i="9"/>
  <c r="BK66" i="9"/>
  <c r="AZ66" i="9"/>
  <c r="AO66" i="9"/>
  <c r="AD66" i="9"/>
  <c r="S66" i="9"/>
  <c r="H66" i="9"/>
  <c r="C66" i="9"/>
  <c r="BO72" i="9" s="1"/>
  <c r="BK65" i="9"/>
  <c r="AZ65" i="9"/>
  <c r="AO65" i="9"/>
  <c r="AD65" i="9"/>
  <c r="S65" i="9"/>
  <c r="H65" i="9"/>
  <c r="BK64" i="9"/>
  <c r="AZ64" i="9"/>
  <c r="AO64" i="9"/>
  <c r="AD64" i="9"/>
  <c r="S64" i="9"/>
  <c r="H64" i="9"/>
  <c r="BK63" i="9"/>
  <c r="AZ63" i="9"/>
  <c r="AO63" i="9"/>
  <c r="AD63" i="9"/>
  <c r="S63" i="9"/>
  <c r="L63" i="9"/>
  <c r="H63" i="9"/>
  <c r="BK62" i="9"/>
  <c r="AZ62" i="9"/>
  <c r="AO62" i="9"/>
  <c r="AD62" i="9"/>
  <c r="S62" i="9"/>
  <c r="H62" i="9"/>
  <c r="BK61" i="9"/>
  <c r="AZ61" i="9"/>
  <c r="AO61" i="9"/>
  <c r="AD61" i="9"/>
  <c r="S61" i="9"/>
  <c r="H61" i="9"/>
  <c r="BK60" i="9"/>
  <c r="AZ60" i="9"/>
  <c r="AO60" i="9"/>
  <c r="AD60" i="9"/>
  <c r="S60" i="9"/>
  <c r="H60" i="9"/>
  <c r="BK59" i="9"/>
  <c r="AZ59" i="9"/>
  <c r="AO59" i="9"/>
  <c r="AD59" i="9"/>
  <c r="S59" i="9"/>
  <c r="H59" i="9"/>
  <c r="C59" i="9"/>
  <c r="BO65" i="9" s="1"/>
  <c r="BK58" i="9"/>
  <c r="AZ58" i="9"/>
  <c r="AO58" i="9"/>
  <c r="AD58" i="9"/>
  <c r="S58" i="9"/>
  <c r="H58" i="9"/>
  <c r="BK57" i="9"/>
  <c r="AZ57" i="9"/>
  <c r="AO57" i="9"/>
  <c r="AD57" i="9"/>
  <c r="S57" i="9"/>
  <c r="H57" i="9"/>
  <c r="BK56" i="9"/>
  <c r="AZ56" i="9"/>
  <c r="AO56" i="9"/>
  <c r="AD56" i="9"/>
  <c r="S56" i="9"/>
  <c r="L56" i="9"/>
  <c r="H56" i="9"/>
  <c r="BK55" i="9"/>
  <c r="AZ55" i="9"/>
  <c r="AO55" i="9"/>
  <c r="AD55" i="9"/>
  <c r="S55" i="9"/>
  <c r="H55" i="9"/>
  <c r="BK54" i="9"/>
  <c r="AZ54" i="9"/>
  <c r="AO54" i="9"/>
  <c r="AD54" i="9"/>
  <c r="S54" i="9"/>
  <c r="H54" i="9"/>
  <c r="BK53" i="9"/>
  <c r="AZ53" i="9"/>
  <c r="AO53" i="9"/>
  <c r="AD53" i="9"/>
  <c r="S53" i="9"/>
  <c r="H53" i="9"/>
  <c r="BK52" i="9"/>
  <c r="AZ52" i="9"/>
  <c r="AO52" i="9"/>
  <c r="AD52" i="9"/>
  <c r="S52" i="9"/>
  <c r="H52" i="9"/>
  <c r="C52" i="9"/>
  <c r="BO58" i="9" s="1"/>
  <c r="BK51" i="9"/>
  <c r="AZ51" i="9"/>
  <c r="AO51" i="9"/>
  <c r="AD51" i="9"/>
  <c r="S51" i="9"/>
  <c r="H51" i="9"/>
  <c r="BK50" i="9"/>
  <c r="AZ50" i="9"/>
  <c r="AO50" i="9"/>
  <c r="AD50" i="9"/>
  <c r="S50" i="9"/>
  <c r="H50" i="9"/>
  <c r="BK49" i="9"/>
  <c r="AZ49" i="9"/>
  <c r="AO49" i="9"/>
  <c r="AD49" i="9"/>
  <c r="S49" i="9"/>
  <c r="L49" i="9"/>
  <c r="H49" i="9"/>
  <c r="BK48" i="9"/>
  <c r="AZ48" i="9"/>
  <c r="AO48" i="9"/>
  <c r="AD48" i="9"/>
  <c r="S48" i="9"/>
  <c r="H48" i="9"/>
  <c r="BK47" i="9"/>
  <c r="AZ47" i="9"/>
  <c r="AO47" i="9"/>
  <c r="AD47" i="9"/>
  <c r="S47" i="9"/>
  <c r="H47" i="9"/>
  <c r="BK46" i="9"/>
  <c r="AZ46" i="9"/>
  <c r="AO46" i="9"/>
  <c r="AD46" i="9"/>
  <c r="S46" i="9"/>
  <c r="H46" i="9"/>
  <c r="BK45" i="9"/>
  <c r="AZ45" i="9"/>
  <c r="AO45" i="9"/>
  <c r="AD45" i="9"/>
  <c r="S45" i="9"/>
  <c r="H45" i="9"/>
  <c r="C45" i="9"/>
  <c r="BO51" i="9" s="1"/>
  <c r="BK44" i="9"/>
  <c r="AZ44" i="9"/>
  <c r="AO44" i="9"/>
  <c r="AD44" i="9"/>
  <c r="S44" i="9"/>
  <c r="H44" i="9"/>
  <c r="BK43" i="9"/>
  <c r="AZ43" i="9"/>
  <c r="AO43" i="9"/>
  <c r="AD43" i="9"/>
  <c r="S43" i="9"/>
  <c r="H43" i="9"/>
  <c r="BK42" i="9"/>
  <c r="AZ42" i="9"/>
  <c r="AO42" i="9"/>
  <c r="AD42" i="9"/>
  <c r="S42" i="9"/>
  <c r="L42" i="9"/>
  <c r="H42" i="9"/>
  <c r="BK41" i="9"/>
  <c r="AZ41" i="9"/>
  <c r="AO41" i="9"/>
  <c r="AD41" i="9"/>
  <c r="S41" i="9"/>
  <c r="H41" i="9"/>
  <c r="BK40" i="9"/>
  <c r="AZ40" i="9"/>
  <c r="AO40" i="9"/>
  <c r="AD40" i="9"/>
  <c r="S40" i="9"/>
  <c r="H40" i="9"/>
  <c r="BK39" i="9"/>
  <c r="AZ39" i="9"/>
  <c r="AO39" i="9"/>
  <c r="AD39" i="9"/>
  <c r="S39" i="9"/>
  <c r="H39" i="9"/>
  <c r="BK38" i="9"/>
  <c r="AZ38" i="9"/>
  <c r="AO38" i="9"/>
  <c r="AD38" i="9"/>
  <c r="S38" i="9"/>
  <c r="H38" i="9"/>
  <c r="C38" i="9"/>
  <c r="BO44" i="9" s="1"/>
  <c r="BK37" i="9"/>
  <c r="AZ37" i="9"/>
  <c r="AO37" i="9"/>
  <c r="AD37" i="9"/>
  <c r="S37" i="9"/>
  <c r="H37" i="9"/>
  <c r="BK36" i="9"/>
  <c r="AZ36" i="9"/>
  <c r="AO36" i="9"/>
  <c r="AD36" i="9"/>
  <c r="S36" i="9"/>
  <c r="H36" i="9"/>
  <c r="BK35" i="9"/>
  <c r="AZ35" i="9"/>
  <c r="AO35" i="9"/>
  <c r="AD35" i="9"/>
  <c r="S35" i="9"/>
  <c r="L35" i="9"/>
  <c r="H35" i="9"/>
  <c r="BK34" i="9"/>
  <c r="AZ34" i="9"/>
  <c r="AO34" i="9"/>
  <c r="AD34" i="9"/>
  <c r="S34" i="9"/>
  <c r="H34" i="9"/>
  <c r="BK33" i="9"/>
  <c r="AZ33" i="9"/>
  <c r="AO33" i="9"/>
  <c r="AD33" i="9"/>
  <c r="S33" i="9"/>
  <c r="H33" i="9"/>
  <c r="BK32" i="9"/>
  <c r="AZ32" i="9"/>
  <c r="AO32" i="9"/>
  <c r="AD32" i="9"/>
  <c r="S32" i="9"/>
  <c r="H32" i="9"/>
  <c r="BK31" i="9"/>
  <c r="AZ31" i="9"/>
  <c r="AO31" i="9"/>
  <c r="AD31" i="9"/>
  <c r="S31" i="9"/>
  <c r="H31" i="9"/>
  <c r="C31" i="9"/>
  <c r="BO37" i="9" s="1"/>
  <c r="BK30" i="9"/>
  <c r="AZ30" i="9"/>
  <c r="AO30" i="9"/>
  <c r="AD30" i="9"/>
  <c r="S30" i="9"/>
  <c r="H30" i="9"/>
  <c r="BK29" i="9"/>
  <c r="AZ29" i="9"/>
  <c r="AO29" i="9"/>
  <c r="AD29" i="9"/>
  <c r="S29" i="9"/>
  <c r="H29" i="9"/>
  <c r="BK28" i="9"/>
  <c r="AZ28" i="9"/>
  <c r="AO28" i="9"/>
  <c r="AD28" i="9"/>
  <c r="S28" i="9"/>
  <c r="L28" i="9"/>
  <c r="H28" i="9"/>
  <c r="BK27" i="9"/>
  <c r="AZ27" i="9"/>
  <c r="AO27" i="9"/>
  <c r="AD27" i="9"/>
  <c r="S27" i="9"/>
  <c r="H27" i="9"/>
  <c r="BK26" i="9"/>
  <c r="AZ26" i="9"/>
  <c r="AO26" i="9"/>
  <c r="AD26" i="9"/>
  <c r="S26" i="9"/>
  <c r="H26" i="9"/>
  <c r="BK25" i="9"/>
  <c r="AZ25" i="9"/>
  <c r="AO25" i="9"/>
  <c r="AD25" i="9"/>
  <c r="S25" i="9"/>
  <c r="H25" i="9"/>
  <c r="BK24" i="9"/>
  <c r="AZ24" i="9"/>
  <c r="AO24" i="9"/>
  <c r="AD24" i="9"/>
  <c r="S24" i="9"/>
  <c r="H24" i="9"/>
  <c r="C24" i="9"/>
  <c r="BO30" i="9" s="1"/>
  <c r="BK23" i="9"/>
  <c r="AZ23" i="9"/>
  <c r="AO23" i="9"/>
  <c r="AD23" i="9"/>
  <c r="S23" i="9"/>
  <c r="H23" i="9"/>
  <c r="BK22" i="9"/>
  <c r="AZ22" i="9"/>
  <c r="AO22" i="9"/>
  <c r="AD22" i="9"/>
  <c r="S22" i="9"/>
  <c r="H22" i="9"/>
  <c r="BK21" i="9"/>
  <c r="AZ21" i="9"/>
  <c r="AO21" i="9"/>
  <c r="AD21" i="9"/>
  <c r="S21" i="9"/>
  <c r="L21" i="9"/>
  <c r="H21" i="9"/>
  <c r="BK20" i="9"/>
  <c r="AZ20" i="9"/>
  <c r="AO20" i="9"/>
  <c r="AD20" i="9"/>
  <c r="S20" i="9"/>
  <c r="H20" i="9"/>
  <c r="BK19" i="9"/>
  <c r="AZ19" i="9"/>
  <c r="AO19" i="9"/>
  <c r="AD19" i="9"/>
  <c r="S19" i="9"/>
  <c r="H19" i="9"/>
  <c r="BK18" i="9"/>
  <c r="AZ18" i="9"/>
  <c r="AO18" i="9"/>
  <c r="AD18" i="9"/>
  <c r="S18" i="9"/>
  <c r="H18" i="9"/>
  <c r="BK17" i="9"/>
  <c r="AZ17" i="9"/>
  <c r="AO17" i="9"/>
  <c r="AD17" i="9"/>
  <c r="S17" i="9"/>
  <c r="H17" i="9"/>
  <c r="C17" i="9"/>
  <c r="BO23" i="9" s="1"/>
  <c r="BK16" i="9"/>
  <c r="AZ16" i="9"/>
  <c r="AO16" i="9"/>
  <c r="AD16" i="9"/>
  <c r="S16" i="9"/>
  <c r="H16" i="9"/>
  <c r="BK15" i="9"/>
  <c r="AZ15" i="9"/>
  <c r="AO15" i="9"/>
  <c r="AD15" i="9"/>
  <c r="S15" i="9"/>
  <c r="H15" i="9"/>
  <c r="BK14" i="9"/>
  <c r="AZ14" i="9"/>
  <c r="AO14" i="9"/>
  <c r="AD14" i="9"/>
  <c r="S14" i="9"/>
  <c r="L14" i="9"/>
  <c r="H14" i="9"/>
  <c r="BK13" i="9"/>
  <c r="AZ13" i="9"/>
  <c r="AO13" i="9"/>
  <c r="AD13" i="9"/>
  <c r="S13" i="9"/>
  <c r="H13" i="9"/>
  <c r="BK12" i="9"/>
  <c r="AZ12" i="9"/>
  <c r="AO12" i="9"/>
  <c r="AD12" i="9"/>
  <c r="S12" i="9"/>
  <c r="H12" i="9"/>
  <c r="BK11" i="9"/>
  <c r="AZ11" i="9"/>
  <c r="AO11" i="9"/>
  <c r="AD11" i="9"/>
  <c r="S11" i="9"/>
  <c r="H11" i="9"/>
  <c r="BK10" i="9"/>
  <c r="AZ10" i="9"/>
  <c r="AO10" i="9"/>
  <c r="AD10" i="9"/>
  <c r="S10" i="9"/>
  <c r="H10" i="9"/>
  <c r="C10" i="9"/>
  <c r="BO16" i="9" s="1"/>
  <c r="C3" i="9"/>
  <c r="W9" i="9" s="1"/>
  <c r="BK9" i="9"/>
  <c r="BK8" i="9"/>
  <c r="BK7" i="9"/>
  <c r="BK6" i="9"/>
  <c r="BK5" i="9"/>
  <c r="BK4" i="9"/>
  <c r="BK3" i="9"/>
  <c r="AZ9" i="9"/>
  <c r="AZ8" i="9"/>
  <c r="AZ7" i="9"/>
  <c r="AZ6" i="9"/>
  <c r="AZ5" i="9"/>
  <c r="AZ4" i="9"/>
  <c r="AZ3" i="9"/>
  <c r="AO9" i="9"/>
  <c r="AO8" i="9"/>
  <c r="AO7" i="9"/>
  <c r="AO6" i="9"/>
  <c r="AO5" i="9"/>
  <c r="AO4" i="9"/>
  <c r="AO3" i="9"/>
  <c r="AD9" i="9"/>
  <c r="AD8" i="9"/>
  <c r="AD7" i="9"/>
  <c r="AD6" i="9"/>
  <c r="AD5" i="9"/>
  <c r="AD4" i="9"/>
  <c r="AD3" i="9"/>
  <c r="S9" i="9"/>
  <c r="S8" i="9"/>
  <c r="S7" i="9"/>
  <c r="S6" i="9"/>
  <c r="S5" i="9"/>
  <c r="S4" i="9"/>
  <c r="S3" i="9"/>
  <c r="L7" i="9"/>
  <c r="H3" i="9"/>
  <c r="H4" i="9"/>
  <c r="H5" i="9"/>
  <c r="H6" i="9"/>
  <c r="H7" i="9"/>
  <c r="H8" i="9"/>
  <c r="H9" i="9"/>
  <c r="G8" i="8"/>
  <c r="C8" i="8"/>
  <c r="F8" i="8" s="1"/>
  <c r="M8" i="8"/>
  <c r="M133" i="9" l="1"/>
  <c r="N133" i="9" s="1"/>
  <c r="BE100" i="9"/>
  <c r="BF100" i="9" s="1"/>
  <c r="M140" i="9"/>
  <c r="N140" i="9" s="1"/>
  <c r="M91" i="9"/>
  <c r="N91" i="9" s="1"/>
  <c r="W97" i="9"/>
  <c r="X97" i="9" s="1"/>
  <c r="Y97" i="9" s="1"/>
  <c r="L136" i="9"/>
  <c r="M136" i="9" s="1"/>
  <c r="N136" i="9" s="1"/>
  <c r="AH136" i="9"/>
  <c r="AI136" i="9" s="1"/>
  <c r="AJ136" i="9" s="1"/>
  <c r="BD136" i="9"/>
  <c r="BE136" i="9" s="1"/>
  <c r="BF136" i="9" s="1"/>
  <c r="L137" i="9"/>
  <c r="M137" i="9" s="1"/>
  <c r="N137" i="9" s="1"/>
  <c r="AH137" i="9"/>
  <c r="AI137" i="9" s="1"/>
  <c r="AJ137" i="9" s="1"/>
  <c r="BD137" i="9"/>
  <c r="BE137" i="9" s="1"/>
  <c r="BF137" i="9" s="1"/>
  <c r="L138" i="9"/>
  <c r="M138" i="9" s="1"/>
  <c r="N138" i="9" s="1"/>
  <c r="AH138" i="9"/>
  <c r="AI138" i="9" s="1"/>
  <c r="AJ138" i="9" s="1"/>
  <c r="BD138" i="9"/>
  <c r="BE138" i="9" s="1"/>
  <c r="BF138" i="9" s="1"/>
  <c r="L139" i="9"/>
  <c r="M139" i="9" s="1"/>
  <c r="N139" i="9" s="1"/>
  <c r="AH139" i="9"/>
  <c r="AI139" i="9" s="1"/>
  <c r="AJ139" i="9" s="1"/>
  <c r="BD139" i="9"/>
  <c r="BE139" i="9" s="1"/>
  <c r="BF139" i="9" s="1"/>
  <c r="AH140" i="9"/>
  <c r="AI140" i="9" s="1"/>
  <c r="AJ140" i="9" s="1"/>
  <c r="BD140" i="9"/>
  <c r="BE140" i="9" s="1"/>
  <c r="BF140" i="9" s="1"/>
  <c r="L141" i="9"/>
  <c r="M141" i="9" s="1"/>
  <c r="N141" i="9" s="1"/>
  <c r="AH141" i="9"/>
  <c r="AI141" i="9" s="1"/>
  <c r="AJ141" i="9" s="1"/>
  <c r="BD141" i="9"/>
  <c r="BE141" i="9" s="1"/>
  <c r="BF141" i="9" s="1"/>
  <c r="L142" i="9"/>
  <c r="M142" i="9" s="1"/>
  <c r="N142" i="9" s="1"/>
  <c r="AH142" i="9"/>
  <c r="AI142" i="9" s="1"/>
  <c r="AJ142" i="9" s="1"/>
  <c r="BD142" i="9"/>
  <c r="BE142" i="9" s="1"/>
  <c r="BF142" i="9" s="1"/>
  <c r="L124" i="9"/>
  <c r="M124" i="9" s="1"/>
  <c r="N124" i="9" s="1"/>
  <c r="W136" i="9"/>
  <c r="X136" i="9" s="1"/>
  <c r="Y136" i="9" s="1"/>
  <c r="AS136" i="9"/>
  <c r="AT136" i="9" s="1"/>
  <c r="AU136" i="9" s="1"/>
  <c r="BO136" i="9"/>
  <c r="BP136" i="9" s="1"/>
  <c r="BQ136" i="9" s="1"/>
  <c r="W137" i="9"/>
  <c r="X137" i="9" s="1"/>
  <c r="Y137" i="9" s="1"/>
  <c r="AS137" i="9"/>
  <c r="AT137" i="9" s="1"/>
  <c r="AU137" i="9" s="1"/>
  <c r="BO137" i="9"/>
  <c r="BP137" i="9" s="1"/>
  <c r="BQ137" i="9" s="1"/>
  <c r="W138" i="9"/>
  <c r="X138" i="9" s="1"/>
  <c r="Y138" i="9" s="1"/>
  <c r="AS138" i="9"/>
  <c r="AT138" i="9" s="1"/>
  <c r="AU138" i="9" s="1"/>
  <c r="BO138" i="9"/>
  <c r="BP138" i="9" s="1"/>
  <c r="BQ138" i="9" s="1"/>
  <c r="W139" i="9"/>
  <c r="X139" i="9" s="1"/>
  <c r="Y139" i="9" s="1"/>
  <c r="AS139" i="9"/>
  <c r="AT139" i="9" s="1"/>
  <c r="AU139" i="9" s="1"/>
  <c r="BO139" i="9"/>
  <c r="BP139" i="9" s="1"/>
  <c r="BQ139" i="9" s="1"/>
  <c r="W140" i="9"/>
  <c r="X140" i="9" s="1"/>
  <c r="Y140" i="9" s="1"/>
  <c r="AS140" i="9"/>
  <c r="AT140" i="9" s="1"/>
  <c r="AU140" i="9" s="1"/>
  <c r="BO140" i="9"/>
  <c r="BP140" i="9" s="1"/>
  <c r="BQ140" i="9" s="1"/>
  <c r="W141" i="9"/>
  <c r="X141" i="9" s="1"/>
  <c r="Y141" i="9" s="1"/>
  <c r="AS141" i="9"/>
  <c r="AT141" i="9" s="1"/>
  <c r="AU141" i="9" s="1"/>
  <c r="BO141" i="9"/>
  <c r="BP141" i="9" s="1"/>
  <c r="BQ141" i="9" s="1"/>
  <c r="W142" i="9"/>
  <c r="X142" i="9" s="1"/>
  <c r="Y142" i="9" s="1"/>
  <c r="AS142" i="9"/>
  <c r="AT142" i="9" s="1"/>
  <c r="AU142" i="9" s="1"/>
  <c r="BP128" i="9"/>
  <c r="BQ128" i="9" s="1"/>
  <c r="L123" i="9"/>
  <c r="M123" i="9" s="1"/>
  <c r="N123" i="9" s="1"/>
  <c r="L129" i="9"/>
  <c r="M129" i="9" s="1"/>
  <c r="N129" i="9" s="1"/>
  <c r="AH129" i="9"/>
  <c r="AI129" i="9" s="1"/>
  <c r="AJ129" i="9" s="1"/>
  <c r="BD129" i="9"/>
  <c r="BE129" i="9" s="1"/>
  <c r="BF129" i="9" s="1"/>
  <c r="L130" i="9"/>
  <c r="M130" i="9" s="1"/>
  <c r="N130" i="9" s="1"/>
  <c r="AH130" i="9"/>
  <c r="AI130" i="9" s="1"/>
  <c r="AJ130" i="9" s="1"/>
  <c r="BD130" i="9"/>
  <c r="BE130" i="9" s="1"/>
  <c r="BF130" i="9" s="1"/>
  <c r="L131" i="9"/>
  <c r="M131" i="9" s="1"/>
  <c r="N131" i="9" s="1"/>
  <c r="AH131" i="9"/>
  <c r="AI131" i="9" s="1"/>
  <c r="AJ131" i="9" s="1"/>
  <c r="BD131" i="9"/>
  <c r="BE131" i="9" s="1"/>
  <c r="BF131" i="9" s="1"/>
  <c r="L132" i="9"/>
  <c r="M132" i="9" s="1"/>
  <c r="N132" i="9" s="1"/>
  <c r="AH132" i="9"/>
  <c r="AI132" i="9" s="1"/>
  <c r="AJ132" i="9" s="1"/>
  <c r="BD132" i="9"/>
  <c r="BE132" i="9" s="1"/>
  <c r="BF132" i="9" s="1"/>
  <c r="AH133" i="9"/>
  <c r="AI133" i="9" s="1"/>
  <c r="AJ133" i="9" s="1"/>
  <c r="BD133" i="9"/>
  <c r="BE133" i="9" s="1"/>
  <c r="BF133" i="9" s="1"/>
  <c r="L134" i="9"/>
  <c r="M134" i="9" s="1"/>
  <c r="N134" i="9" s="1"/>
  <c r="AH134" i="9"/>
  <c r="AI134" i="9" s="1"/>
  <c r="AJ134" i="9" s="1"/>
  <c r="BD134" i="9"/>
  <c r="BE134" i="9" s="1"/>
  <c r="BF134" i="9" s="1"/>
  <c r="L135" i="9"/>
  <c r="M135" i="9" s="1"/>
  <c r="N135" i="9" s="1"/>
  <c r="AH135" i="9"/>
  <c r="AI135" i="9" s="1"/>
  <c r="AJ135" i="9" s="1"/>
  <c r="BD135" i="9"/>
  <c r="BE135" i="9" s="1"/>
  <c r="BF135" i="9" s="1"/>
  <c r="M126" i="9"/>
  <c r="N126" i="9" s="1"/>
  <c r="BE121" i="9"/>
  <c r="BF121" i="9" s="1"/>
  <c r="W129" i="9"/>
  <c r="X129" i="9" s="1"/>
  <c r="Y129" i="9" s="1"/>
  <c r="AS129" i="9"/>
  <c r="AT129" i="9" s="1"/>
  <c r="AU129" i="9" s="1"/>
  <c r="BO129" i="9"/>
  <c r="BP129" i="9" s="1"/>
  <c r="BQ129" i="9" s="1"/>
  <c r="W130" i="9"/>
  <c r="X130" i="9" s="1"/>
  <c r="Y130" i="9" s="1"/>
  <c r="AS130" i="9"/>
  <c r="AT130" i="9" s="1"/>
  <c r="AU130" i="9" s="1"/>
  <c r="BO130" i="9"/>
  <c r="BP130" i="9" s="1"/>
  <c r="BQ130" i="9" s="1"/>
  <c r="W131" i="9"/>
  <c r="X131" i="9" s="1"/>
  <c r="Y131" i="9" s="1"/>
  <c r="AS131" i="9"/>
  <c r="AT131" i="9" s="1"/>
  <c r="AU131" i="9" s="1"/>
  <c r="BO131" i="9"/>
  <c r="BP131" i="9" s="1"/>
  <c r="BQ131" i="9" s="1"/>
  <c r="W132" i="9"/>
  <c r="X132" i="9" s="1"/>
  <c r="Y132" i="9" s="1"/>
  <c r="AS132" i="9"/>
  <c r="AT132" i="9" s="1"/>
  <c r="AU132" i="9" s="1"/>
  <c r="BO132" i="9"/>
  <c r="BP132" i="9" s="1"/>
  <c r="BQ132" i="9" s="1"/>
  <c r="W133" i="9"/>
  <c r="X133" i="9" s="1"/>
  <c r="Y133" i="9" s="1"/>
  <c r="AS133" i="9"/>
  <c r="AT133" i="9" s="1"/>
  <c r="AU133" i="9" s="1"/>
  <c r="BO133" i="9"/>
  <c r="BP133" i="9" s="1"/>
  <c r="BQ133" i="9" s="1"/>
  <c r="W134" i="9"/>
  <c r="X134" i="9" s="1"/>
  <c r="Y134" i="9" s="1"/>
  <c r="AS134" i="9"/>
  <c r="AT134" i="9" s="1"/>
  <c r="AU134" i="9" s="1"/>
  <c r="BO134" i="9"/>
  <c r="BP134" i="9" s="1"/>
  <c r="BQ134" i="9" s="1"/>
  <c r="W135" i="9"/>
  <c r="X135" i="9" s="1"/>
  <c r="Y135" i="9" s="1"/>
  <c r="AS135" i="9"/>
  <c r="AT135" i="9" s="1"/>
  <c r="AU135" i="9" s="1"/>
  <c r="AH123" i="9"/>
  <c r="AI123" i="9" s="1"/>
  <c r="AJ123" i="9" s="1"/>
  <c r="AH124" i="9"/>
  <c r="AI124" i="9" s="1"/>
  <c r="AJ124" i="9" s="1"/>
  <c r="BD122" i="9"/>
  <c r="BE122" i="9" s="1"/>
  <c r="BF122" i="9" s="1"/>
  <c r="BD123" i="9"/>
  <c r="BE123" i="9" s="1"/>
  <c r="BF123" i="9" s="1"/>
  <c r="L122" i="9"/>
  <c r="M122" i="9" s="1"/>
  <c r="N122" i="9" s="1"/>
  <c r="BD124" i="9"/>
  <c r="BE124" i="9" s="1"/>
  <c r="BF124" i="9" s="1"/>
  <c r="AH122" i="9"/>
  <c r="AI122" i="9" s="1"/>
  <c r="AJ122" i="9" s="1"/>
  <c r="L125" i="9"/>
  <c r="M125" i="9" s="1"/>
  <c r="N125" i="9" s="1"/>
  <c r="AS94" i="9"/>
  <c r="AT94" i="9" s="1"/>
  <c r="AU94" i="9" s="1"/>
  <c r="AH125" i="9"/>
  <c r="AI125" i="9" s="1"/>
  <c r="AJ125" i="9" s="1"/>
  <c r="BD125" i="9"/>
  <c r="BE125" i="9" s="1"/>
  <c r="BF125" i="9" s="1"/>
  <c r="AH126" i="9"/>
  <c r="AI126" i="9" s="1"/>
  <c r="AJ126" i="9" s="1"/>
  <c r="BD126" i="9"/>
  <c r="BE126" i="9" s="1"/>
  <c r="BF126" i="9" s="1"/>
  <c r="L127" i="9"/>
  <c r="M127" i="9" s="1"/>
  <c r="N127" i="9" s="1"/>
  <c r="AH127" i="9"/>
  <c r="AI127" i="9" s="1"/>
  <c r="AJ127" i="9" s="1"/>
  <c r="BD127" i="9"/>
  <c r="BE127" i="9" s="1"/>
  <c r="BF127" i="9" s="1"/>
  <c r="L128" i="9"/>
  <c r="M128" i="9" s="1"/>
  <c r="N128" i="9" s="1"/>
  <c r="AH128" i="9"/>
  <c r="AI128" i="9" s="1"/>
  <c r="AJ128" i="9" s="1"/>
  <c r="BD128" i="9"/>
  <c r="BE128" i="9" s="1"/>
  <c r="BF128" i="9" s="1"/>
  <c r="AS97" i="9"/>
  <c r="AT97" i="9" s="1"/>
  <c r="AU97" i="9" s="1"/>
  <c r="M119" i="9"/>
  <c r="N119" i="9" s="1"/>
  <c r="W122" i="9"/>
  <c r="X122" i="9" s="1"/>
  <c r="Y122" i="9" s="1"/>
  <c r="AS122" i="9"/>
  <c r="AT122" i="9" s="1"/>
  <c r="AU122" i="9" s="1"/>
  <c r="BO122" i="9"/>
  <c r="BP122" i="9" s="1"/>
  <c r="BQ122" i="9" s="1"/>
  <c r="W123" i="9"/>
  <c r="X123" i="9" s="1"/>
  <c r="Y123" i="9" s="1"/>
  <c r="AS123" i="9"/>
  <c r="AT123" i="9" s="1"/>
  <c r="AU123" i="9" s="1"/>
  <c r="BO123" i="9"/>
  <c r="BP123" i="9" s="1"/>
  <c r="BQ123" i="9" s="1"/>
  <c r="W124" i="9"/>
  <c r="X124" i="9" s="1"/>
  <c r="Y124" i="9" s="1"/>
  <c r="AS124" i="9"/>
  <c r="AT124" i="9" s="1"/>
  <c r="AU124" i="9" s="1"/>
  <c r="BO124" i="9"/>
  <c r="BP124" i="9" s="1"/>
  <c r="BQ124" i="9" s="1"/>
  <c r="W125" i="9"/>
  <c r="X125" i="9" s="1"/>
  <c r="Y125" i="9" s="1"/>
  <c r="AS125" i="9"/>
  <c r="AT125" i="9" s="1"/>
  <c r="AU125" i="9" s="1"/>
  <c r="BO125" i="9"/>
  <c r="BP125" i="9" s="1"/>
  <c r="BQ125" i="9" s="1"/>
  <c r="W126" i="9"/>
  <c r="X126" i="9" s="1"/>
  <c r="Y126" i="9" s="1"/>
  <c r="AS126" i="9"/>
  <c r="AT126" i="9" s="1"/>
  <c r="AU126" i="9" s="1"/>
  <c r="BO126" i="9"/>
  <c r="BP126" i="9" s="1"/>
  <c r="BQ126" i="9" s="1"/>
  <c r="W127" i="9"/>
  <c r="X127" i="9" s="1"/>
  <c r="Y127" i="9" s="1"/>
  <c r="AS127" i="9"/>
  <c r="AT127" i="9" s="1"/>
  <c r="AU127" i="9" s="1"/>
  <c r="BO127" i="9"/>
  <c r="BP127" i="9" s="1"/>
  <c r="BQ127" i="9" s="1"/>
  <c r="W128" i="9"/>
  <c r="X128" i="9" s="1"/>
  <c r="Y128" i="9" s="1"/>
  <c r="AS128" i="9"/>
  <c r="AT128" i="9" s="1"/>
  <c r="AU128" i="9" s="1"/>
  <c r="AS115" i="9"/>
  <c r="AT115" i="9" s="1"/>
  <c r="AU115" i="9" s="1"/>
  <c r="BO116" i="9"/>
  <c r="BP116" i="9" s="1"/>
  <c r="BQ116" i="9" s="1"/>
  <c r="W121" i="9"/>
  <c r="X121" i="9" s="1"/>
  <c r="Y121" i="9" s="1"/>
  <c r="W116" i="9"/>
  <c r="X116" i="9" s="1"/>
  <c r="Y116" i="9" s="1"/>
  <c r="W120" i="9"/>
  <c r="X120" i="9" s="1"/>
  <c r="Y120" i="9" s="1"/>
  <c r="L115" i="9"/>
  <c r="M115" i="9" s="1"/>
  <c r="N115" i="9" s="1"/>
  <c r="BD115" i="9"/>
  <c r="BE115" i="9" s="1"/>
  <c r="BF115" i="9" s="1"/>
  <c r="AH116" i="9"/>
  <c r="AI116" i="9" s="1"/>
  <c r="AJ116" i="9" s="1"/>
  <c r="L117" i="9"/>
  <c r="M117" i="9" s="1"/>
  <c r="N117" i="9" s="1"/>
  <c r="BO117" i="9"/>
  <c r="BP117" i="9" s="1"/>
  <c r="BQ117" i="9" s="1"/>
  <c r="AS119" i="9"/>
  <c r="AT119" i="9" s="1"/>
  <c r="AU119" i="9" s="1"/>
  <c r="AS118" i="9"/>
  <c r="AT118" i="9" s="1"/>
  <c r="AU118" i="9" s="1"/>
  <c r="BO118" i="9"/>
  <c r="BP118" i="9" s="1"/>
  <c r="BQ118" i="9" s="1"/>
  <c r="AS120" i="9"/>
  <c r="AT120" i="9" s="1"/>
  <c r="AU120" i="9" s="1"/>
  <c r="W115" i="9"/>
  <c r="X115" i="9" s="1"/>
  <c r="Y115" i="9" s="1"/>
  <c r="BO115" i="9"/>
  <c r="BP115" i="9" s="1"/>
  <c r="BQ115" i="9" s="1"/>
  <c r="AS116" i="9"/>
  <c r="AT116" i="9" s="1"/>
  <c r="AU116" i="9" s="1"/>
  <c r="W117" i="9"/>
  <c r="X117" i="9" s="1"/>
  <c r="Y117" i="9" s="1"/>
  <c r="AS121" i="9"/>
  <c r="AT121" i="9" s="1"/>
  <c r="AU121" i="9" s="1"/>
  <c r="W118" i="9"/>
  <c r="X118" i="9" s="1"/>
  <c r="Y118" i="9" s="1"/>
  <c r="BO119" i="9"/>
  <c r="BP119" i="9" s="1"/>
  <c r="BQ119" i="9" s="1"/>
  <c r="AH115" i="9"/>
  <c r="AI115" i="9" s="1"/>
  <c r="AJ115" i="9" s="1"/>
  <c r="L116" i="9"/>
  <c r="M116" i="9" s="1"/>
  <c r="N116" i="9" s="1"/>
  <c r="BD116" i="9"/>
  <c r="BE116" i="9" s="1"/>
  <c r="BF116" i="9" s="1"/>
  <c r="BO120" i="9"/>
  <c r="BP120" i="9" s="1"/>
  <c r="BQ120" i="9" s="1"/>
  <c r="AS117" i="9"/>
  <c r="AT117" i="9" s="1"/>
  <c r="AU117" i="9" s="1"/>
  <c r="W119" i="9"/>
  <c r="X119" i="9" s="1"/>
  <c r="Y119" i="9" s="1"/>
  <c r="BO121" i="9"/>
  <c r="BP121" i="9" s="1"/>
  <c r="BQ121" i="9" s="1"/>
  <c r="W94" i="9"/>
  <c r="X94" i="9" s="1"/>
  <c r="Y94" i="9" s="1"/>
  <c r="AH117" i="9"/>
  <c r="AI117" i="9" s="1"/>
  <c r="AJ117" i="9" s="1"/>
  <c r="BD117" i="9"/>
  <c r="BE117" i="9" s="1"/>
  <c r="BF117" i="9" s="1"/>
  <c r="L118" i="9"/>
  <c r="M118" i="9" s="1"/>
  <c r="N118" i="9" s="1"/>
  <c r="AH118" i="9"/>
  <c r="AI118" i="9" s="1"/>
  <c r="AJ118" i="9" s="1"/>
  <c r="BD118" i="9"/>
  <c r="BE118" i="9" s="1"/>
  <c r="BF118" i="9" s="1"/>
  <c r="AH119" i="9"/>
  <c r="AI119" i="9" s="1"/>
  <c r="AJ119" i="9" s="1"/>
  <c r="BD119" i="9"/>
  <c r="BE119" i="9" s="1"/>
  <c r="BF119" i="9" s="1"/>
  <c r="L120" i="9"/>
  <c r="M120" i="9" s="1"/>
  <c r="N120" i="9" s="1"/>
  <c r="AH120" i="9"/>
  <c r="AI120" i="9" s="1"/>
  <c r="AJ120" i="9" s="1"/>
  <c r="BD120" i="9"/>
  <c r="BE120" i="9" s="1"/>
  <c r="BF120" i="9" s="1"/>
  <c r="L121" i="9"/>
  <c r="M121" i="9" s="1"/>
  <c r="N121" i="9" s="1"/>
  <c r="AH121" i="9"/>
  <c r="AI121" i="9" s="1"/>
  <c r="AJ121" i="9" s="1"/>
  <c r="BO98" i="9"/>
  <c r="BP98" i="9" s="1"/>
  <c r="BQ98" i="9" s="1"/>
  <c r="BP114" i="9"/>
  <c r="BQ114" i="9" s="1"/>
  <c r="M112" i="9"/>
  <c r="N112" i="9" s="1"/>
  <c r="L108" i="9"/>
  <c r="M108" i="9" s="1"/>
  <c r="N108" i="9" s="1"/>
  <c r="AH108" i="9"/>
  <c r="AI108" i="9" s="1"/>
  <c r="AJ108" i="9" s="1"/>
  <c r="BD108" i="9"/>
  <c r="BE108" i="9" s="1"/>
  <c r="BF108" i="9" s="1"/>
  <c r="L109" i="9"/>
  <c r="M109" i="9" s="1"/>
  <c r="N109" i="9" s="1"/>
  <c r="AH109" i="9"/>
  <c r="AI109" i="9" s="1"/>
  <c r="AJ109" i="9" s="1"/>
  <c r="BD109" i="9"/>
  <c r="BE109" i="9" s="1"/>
  <c r="BF109" i="9" s="1"/>
  <c r="L110" i="9"/>
  <c r="M110" i="9" s="1"/>
  <c r="N110" i="9" s="1"/>
  <c r="AH110" i="9"/>
  <c r="AI110" i="9" s="1"/>
  <c r="AJ110" i="9" s="1"/>
  <c r="BD110" i="9"/>
  <c r="BE110" i="9" s="1"/>
  <c r="BF110" i="9" s="1"/>
  <c r="L111" i="9"/>
  <c r="M111" i="9" s="1"/>
  <c r="N111" i="9" s="1"/>
  <c r="AH111" i="9"/>
  <c r="AI111" i="9" s="1"/>
  <c r="AJ111" i="9" s="1"/>
  <c r="BD111" i="9"/>
  <c r="BE111" i="9" s="1"/>
  <c r="BF111" i="9" s="1"/>
  <c r="AH112" i="9"/>
  <c r="AI112" i="9" s="1"/>
  <c r="AJ112" i="9" s="1"/>
  <c r="BD112" i="9"/>
  <c r="BE112" i="9" s="1"/>
  <c r="BF112" i="9" s="1"/>
  <c r="L113" i="9"/>
  <c r="M113" i="9" s="1"/>
  <c r="N113" i="9" s="1"/>
  <c r="AH113" i="9"/>
  <c r="AI113" i="9" s="1"/>
  <c r="AJ113" i="9" s="1"/>
  <c r="BD113" i="9"/>
  <c r="BE113" i="9" s="1"/>
  <c r="BF113" i="9" s="1"/>
  <c r="L114" i="9"/>
  <c r="M114" i="9" s="1"/>
  <c r="N114" i="9" s="1"/>
  <c r="AH114" i="9"/>
  <c r="AI114" i="9" s="1"/>
  <c r="AJ114" i="9" s="1"/>
  <c r="BD114" i="9"/>
  <c r="BE114" i="9" s="1"/>
  <c r="BF114" i="9" s="1"/>
  <c r="BP107" i="9"/>
  <c r="BQ107" i="9" s="1"/>
  <c r="M105" i="9"/>
  <c r="N105" i="9" s="1"/>
  <c r="W108" i="9"/>
  <c r="X108" i="9" s="1"/>
  <c r="Y108" i="9" s="1"/>
  <c r="AS108" i="9"/>
  <c r="AT108" i="9" s="1"/>
  <c r="AU108" i="9" s="1"/>
  <c r="BO108" i="9"/>
  <c r="BP108" i="9" s="1"/>
  <c r="BQ108" i="9" s="1"/>
  <c r="W109" i="9"/>
  <c r="X109" i="9" s="1"/>
  <c r="Y109" i="9" s="1"/>
  <c r="AS109" i="9"/>
  <c r="AT109" i="9" s="1"/>
  <c r="AU109" i="9" s="1"/>
  <c r="BO109" i="9"/>
  <c r="BP109" i="9" s="1"/>
  <c r="BQ109" i="9" s="1"/>
  <c r="W110" i="9"/>
  <c r="X110" i="9" s="1"/>
  <c r="Y110" i="9" s="1"/>
  <c r="AS110" i="9"/>
  <c r="AT110" i="9" s="1"/>
  <c r="AU110" i="9" s="1"/>
  <c r="BO110" i="9"/>
  <c r="BP110" i="9" s="1"/>
  <c r="BQ110" i="9" s="1"/>
  <c r="W111" i="9"/>
  <c r="X111" i="9" s="1"/>
  <c r="Y111" i="9" s="1"/>
  <c r="AS111" i="9"/>
  <c r="AT111" i="9" s="1"/>
  <c r="AU111" i="9" s="1"/>
  <c r="BO111" i="9"/>
  <c r="BP111" i="9" s="1"/>
  <c r="BQ111" i="9" s="1"/>
  <c r="W112" i="9"/>
  <c r="X112" i="9" s="1"/>
  <c r="Y112" i="9" s="1"/>
  <c r="AS112" i="9"/>
  <c r="AT112" i="9" s="1"/>
  <c r="AU112" i="9" s="1"/>
  <c r="BO112" i="9"/>
  <c r="BP112" i="9" s="1"/>
  <c r="BQ112" i="9" s="1"/>
  <c r="W113" i="9"/>
  <c r="X113" i="9" s="1"/>
  <c r="Y113" i="9" s="1"/>
  <c r="AS113" i="9"/>
  <c r="AT113" i="9" s="1"/>
  <c r="AU113" i="9" s="1"/>
  <c r="BO113" i="9"/>
  <c r="BP113" i="9" s="1"/>
  <c r="BQ113" i="9" s="1"/>
  <c r="W114" i="9"/>
  <c r="X114" i="9" s="1"/>
  <c r="Y114" i="9" s="1"/>
  <c r="AS114" i="9"/>
  <c r="AT114" i="9" s="1"/>
  <c r="AU114" i="9" s="1"/>
  <c r="M98" i="9"/>
  <c r="N98" i="9" s="1"/>
  <c r="L107" i="9"/>
  <c r="M107" i="9" s="1"/>
  <c r="N107" i="9" s="1"/>
  <c r="BD101" i="9"/>
  <c r="BE101" i="9" s="1"/>
  <c r="BF101" i="9" s="1"/>
  <c r="AH104" i="9"/>
  <c r="AI104" i="9" s="1"/>
  <c r="AJ104" i="9" s="1"/>
  <c r="BD102" i="9"/>
  <c r="BE102" i="9" s="1"/>
  <c r="BF102" i="9" s="1"/>
  <c r="AH105" i="9"/>
  <c r="AI105" i="9" s="1"/>
  <c r="AJ105" i="9" s="1"/>
  <c r="L101" i="9"/>
  <c r="M101" i="9" s="1"/>
  <c r="N101" i="9" s="1"/>
  <c r="L102" i="9"/>
  <c r="M102" i="9" s="1"/>
  <c r="N102" i="9" s="1"/>
  <c r="BD104" i="9"/>
  <c r="BE104" i="9" s="1"/>
  <c r="BF104" i="9" s="1"/>
  <c r="AH107" i="9"/>
  <c r="AI107" i="9" s="1"/>
  <c r="AJ107" i="9" s="1"/>
  <c r="L103" i="9"/>
  <c r="M103" i="9" s="1"/>
  <c r="N103" i="9" s="1"/>
  <c r="BD105" i="9"/>
  <c r="BE105" i="9" s="1"/>
  <c r="BF105" i="9" s="1"/>
  <c r="BD103" i="9"/>
  <c r="BE103" i="9" s="1"/>
  <c r="BF103" i="9" s="1"/>
  <c r="AH106" i="9"/>
  <c r="AI106" i="9" s="1"/>
  <c r="AJ106" i="9" s="1"/>
  <c r="AH101" i="9"/>
  <c r="AI101" i="9" s="1"/>
  <c r="AJ101" i="9" s="1"/>
  <c r="L104" i="9"/>
  <c r="M104" i="9" s="1"/>
  <c r="N104" i="9" s="1"/>
  <c r="BD106" i="9"/>
  <c r="BE106" i="9" s="1"/>
  <c r="BF106" i="9" s="1"/>
  <c r="AH102" i="9"/>
  <c r="AI102" i="9" s="1"/>
  <c r="AJ102" i="9" s="1"/>
  <c r="BD107" i="9"/>
  <c r="BE107" i="9" s="1"/>
  <c r="BF107" i="9" s="1"/>
  <c r="AH103" i="9"/>
  <c r="AI103" i="9" s="1"/>
  <c r="AJ103" i="9" s="1"/>
  <c r="L106" i="9"/>
  <c r="M106" i="9" s="1"/>
  <c r="N106" i="9" s="1"/>
  <c r="W95" i="9"/>
  <c r="X95" i="9" s="1"/>
  <c r="Y95" i="9" s="1"/>
  <c r="BO75" i="9"/>
  <c r="BP75" i="9" s="1"/>
  <c r="BQ75" i="9" s="1"/>
  <c r="W99" i="9"/>
  <c r="X99" i="9" s="1"/>
  <c r="Y99" i="9" s="1"/>
  <c r="M70" i="9"/>
  <c r="N70" i="9" s="1"/>
  <c r="BP86" i="9"/>
  <c r="BQ86" i="9" s="1"/>
  <c r="AS95" i="9"/>
  <c r="AT95" i="9" s="1"/>
  <c r="AU95" i="9" s="1"/>
  <c r="AS98" i="9"/>
  <c r="AT98" i="9" s="1"/>
  <c r="AU98" i="9" s="1"/>
  <c r="W101" i="9"/>
  <c r="X101" i="9" s="1"/>
  <c r="Y101" i="9" s="1"/>
  <c r="AS101" i="9"/>
  <c r="AT101" i="9" s="1"/>
  <c r="AU101" i="9" s="1"/>
  <c r="BO101" i="9"/>
  <c r="BP101" i="9" s="1"/>
  <c r="BQ101" i="9" s="1"/>
  <c r="W102" i="9"/>
  <c r="X102" i="9" s="1"/>
  <c r="Y102" i="9" s="1"/>
  <c r="AS102" i="9"/>
  <c r="AT102" i="9" s="1"/>
  <c r="AU102" i="9" s="1"/>
  <c r="BO102" i="9"/>
  <c r="BP102" i="9" s="1"/>
  <c r="BQ102" i="9" s="1"/>
  <c r="W103" i="9"/>
  <c r="X103" i="9" s="1"/>
  <c r="Y103" i="9" s="1"/>
  <c r="AS103" i="9"/>
  <c r="AT103" i="9" s="1"/>
  <c r="AU103" i="9" s="1"/>
  <c r="BO103" i="9"/>
  <c r="BP103" i="9" s="1"/>
  <c r="BQ103" i="9" s="1"/>
  <c r="W104" i="9"/>
  <c r="X104" i="9" s="1"/>
  <c r="Y104" i="9" s="1"/>
  <c r="AS104" i="9"/>
  <c r="AT104" i="9" s="1"/>
  <c r="AU104" i="9" s="1"/>
  <c r="BO104" i="9"/>
  <c r="BP104" i="9" s="1"/>
  <c r="BQ104" i="9" s="1"/>
  <c r="W105" i="9"/>
  <c r="X105" i="9" s="1"/>
  <c r="Y105" i="9" s="1"/>
  <c r="AS105" i="9"/>
  <c r="AT105" i="9" s="1"/>
  <c r="AU105" i="9" s="1"/>
  <c r="BO105" i="9"/>
  <c r="BP105" i="9" s="1"/>
  <c r="BQ105" i="9" s="1"/>
  <c r="W106" i="9"/>
  <c r="X106" i="9" s="1"/>
  <c r="Y106" i="9" s="1"/>
  <c r="AS106" i="9"/>
  <c r="AT106" i="9" s="1"/>
  <c r="AU106" i="9" s="1"/>
  <c r="BO106" i="9"/>
  <c r="BP106" i="9" s="1"/>
  <c r="BQ106" i="9" s="1"/>
  <c r="W107" i="9"/>
  <c r="X107" i="9" s="1"/>
  <c r="Y107" i="9" s="1"/>
  <c r="AS107" i="9"/>
  <c r="AT107" i="9" s="1"/>
  <c r="AU107" i="9" s="1"/>
  <c r="BO96" i="9"/>
  <c r="BP96" i="9" s="1"/>
  <c r="BQ96" i="9" s="1"/>
  <c r="AS99" i="9"/>
  <c r="AT99" i="9" s="1"/>
  <c r="AU99" i="9" s="1"/>
  <c r="BO94" i="9"/>
  <c r="BP94" i="9" s="1"/>
  <c r="BQ94" i="9" s="1"/>
  <c r="BO97" i="9"/>
  <c r="BP97" i="9" s="1"/>
  <c r="BQ97" i="9" s="1"/>
  <c r="BO95" i="9"/>
  <c r="BP95" i="9" s="1"/>
  <c r="BQ95" i="9" s="1"/>
  <c r="W100" i="9"/>
  <c r="X100" i="9" s="1"/>
  <c r="Y100" i="9" s="1"/>
  <c r="W96" i="9"/>
  <c r="X96" i="9" s="1"/>
  <c r="Y96" i="9" s="1"/>
  <c r="AS100" i="9"/>
  <c r="AT100" i="9" s="1"/>
  <c r="AU100" i="9" s="1"/>
  <c r="BO99" i="9"/>
  <c r="BP99" i="9" s="1"/>
  <c r="BQ99" i="9" s="1"/>
  <c r="AS96" i="9"/>
  <c r="AT96" i="9" s="1"/>
  <c r="AU96" i="9" s="1"/>
  <c r="W98" i="9"/>
  <c r="X98" i="9" s="1"/>
  <c r="Y98" i="9" s="1"/>
  <c r="BO100" i="9"/>
  <c r="BP100" i="9" s="1"/>
  <c r="BQ100" i="9" s="1"/>
  <c r="BE79" i="9"/>
  <c r="BF79" i="9" s="1"/>
  <c r="L94" i="9"/>
  <c r="M94" i="9" s="1"/>
  <c r="N94" i="9" s="1"/>
  <c r="AH94" i="9"/>
  <c r="AI94" i="9" s="1"/>
  <c r="AJ94" i="9" s="1"/>
  <c r="BD94" i="9"/>
  <c r="BE94" i="9" s="1"/>
  <c r="BF94" i="9" s="1"/>
  <c r="L95" i="9"/>
  <c r="M95" i="9" s="1"/>
  <c r="N95" i="9" s="1"/>
  <c r="AH95" i="9"/>
  <c r="AI95" i="9" s="1"/>
  <c r="AJ95" i="9" s="1"/>
  <c r="BD95" i="9"/>
  <c r="BE95" i="9" s="1"/>
  <c r="BF95" i="9" s="1"/>
  <c r="L96" i="9"/>
  <c r="M96" i="9" s="1"/>
  <c r="N96" i="9" s="1"/>
  <c r="AH96" i="9"/>
  <c r="AI96" i="9" s="1"/>
  <c r="AJ96" i="9" s="1"/>
  <c r="BD96" i="9"/>
  <c r="BE96" i="9" s="1"/>
  <c r="BF96" i="9" s="1"/>
  <c r="L97" i="9"/>
  <c r="M97" i="9" s="1"/>
  <c r="N97" i="9" s="1"/>
  <c r="AH97" i="9"/>
  <c r="AI97" i="9" s="1"/>
  <c r="AJ97" i="9" s="1"/>
  <c r="BD97" i="9"/>
  <c r="BE97" i="9" s="1"/>
  <c r="BF97" i="9" s="1"/>
  <c r="AH98" i="9"/>
  <c r="AI98" i="9" s="1"/>
  <c r="AJ98" i="9" s="1"/>
  <c r="BD98" i="9"/>
  <c r="BE98" i="9" s="1"/>
  <c r="BF98" i="9" s="1"/>
  <c r="L99" i="9"/>
  <c r="M99" i="9" s="1"/>
  <c r="N99" i="9" s="1"/>
  <c r="AH99" i="9"/>
  <c r="AI99" i="9" s="1"/>
  <c r="AJ99" i="9" s="1"/>
  <c r="BD99" i="9"/>
  <c r="BE99" i="9" s="1"/>
  <c r="BF99" i="9" s="1"/>
  <c r="L100" i="9"/>
  <c r="M100" i="9" s="1"/>
  <c r="N100" i="9" s="1"/>
  <c r="AH100" i="9"/>
  <c r="AI100" i="9" s="1"/>
  <c r="AJ100" i="9" s="1"/>
  <c r="BP93" i="9"/>
  <c r="BQ93" i="9" s="1"/>
  <c r="M84" i="9"/>
  <c r="N84" i="9" s="1"/>
  <c r="L87" i="9"/>
  <c r="M87" i="9" s="1"/>
  <c r="N87" i="9" s="1"/>
  <c r="AH87" i="9"/>
  <c r="AI87" i="9" s="1"/>
  <c r="AJ87" i="9" s="1"/>
  <c r="BD87" i="9"/>
  <c r="BE87" i="9" s="1"/>
  <c r="BF87" i="9" s="1"/>
  <c r="L88" i="9"/>
  <c r="M88" i="9" s="1"/>
  <c r="N88" i="9" s="1"/>
  <c r="AH88" i="9"/>
  <c r="AI88" i="9" s="1"/>
  <c r="AJ88" i="9" s="1"/>
  <c r="BD88" i="9"/>
  <c r="BE88" i="9" s="1"/>
  <c r="BF88" i="9" s="1"/>
  <c r="L89" i="9"/>
  <c r="M89" i="9" s="1"/>
  <c r="N89" i="9" s="1"/>
  <c r="AH89" i="9"/>
  <c r="AI89" i="9" s="1"/>
  <c r="AJ89" i="9" s="1"/>
  <c r="BD89" i="9"/>
  <c r="BE89" i="9" s="1"/>
  <c r="BF89" i="9" s="1"/>
  <c r="L90" i="9"/>
  <c r="M90" i="9" s="1"/>
  <c r="N90" i="9" s="1"/>
  <c r="AH90" i="9"/>
  <c r="AI90" i="9" s="1"/>
  <c r="AJ90" i="9" s="1"/>
  <c r="BD90" i="9"/>
  <c r="BE90" i="9" s="1"/>
  <c r="BF90" i="9" s="1"/>
  <c r="AH91" i="9"/>
  <c r="AI91" i="9" s="1"/>
  <c r="AJ91" i="9" s="1"/>
  <c r="BD91" i="9"/>
  <c r="BE91" i="9" s="1"/>
  <c r="BF91" i="9" s="1"/>
  <c r="L92" i="9"/>
  <c r="M92" i="9" s="1"/>
  <c r="N92" i="9" s="1"/>
  <c r="AH92" i="9"/>
  <c r="AI92" i="9" s="1"/>
  <c r="AJ92" i="9" s="1"/>
  <c r="BD92" i="9"/>
  <c r="BE92" i="9" s="1"/>
  <c r="BF92" i="9" s="1"/>
  <c r="L93" i="9"/>
  <c r="M93" i="9" s="1"/>
  <c r="N93" i="9" s="1"/>
  <c r="AH93" i="9"/>
  <c r="AI93" i="9" s="1"/>
  <c r="AJ93" i="9" s="1"/>
  <c r="BD93" i="9"/>
  <c r="BE93" i="9" s="1"/>
  <c r="BF93" i="9" s="1"/>
  <c r="BP51" i="9"/>
  <c r="BQ51" i="9" s="1"/>
  <c r="BP65" i="9"/>
  <c r="BQ65" i="9" s="1"/>
  <c r="W87" i="9"/>
  <c r="X87" i="9" s="1"/>
  <c r="Y87" i="9" s="1"/>
  <c r="AS87" i="9"/>
  <c r="AT87" i="9" s="1"/>
  <c r="AU87" i="9" s="1"/>
  <c r="BO87" i="9"/>
  <c r="BP87" i="9" s="1"/>
  <c r="BQ87" i="9" s="1"/>
  <c r="W88" i="9"/>
  <c r="X88" i="9" s="1"/>
  <c r="Y88" i="9" s="1"/>
  <c r="AS88" i="9"/>
  <c r="AT88" i="9" s="1"/>
  <c r="AU88" i="9" s="1"/>
  <c r="BO88" i="9"/>
  <c r="BP88" i="9" s="1"/>
  <c r="BQ88" i="9" s="1"/>
  <c r="W89" i="9"/>
  <c r="X89" i="9" s="1"/>
  <c r="Y89" i="9" s="1"/>
  <c r="AS89" i="9"/>
  <c r="AT89" i="9" s="1"/>
  <c r="AU89" i="9" s="1"/>
  <c r="BO89" i="9"/>
  <c r="BP89" i="9" s="1"/>
  <c r="BQ89" i="9" s="1"/>
  <c r="W90" i="9"/>
  <c r="X90" i="9" s="1"/>
  <c r="Y90" i="9" s="1"/>
  <c r="AS90" i="9"/>
  <c r="AT90" i="9" s="1"/>
  <c r="AU90" i="9" s="1"/>
  <c r="BO90" i="9"/>
  <c r="BP90" i="9" s="1"/>
  <c r="BQ90" i="9" s="1"/>
  <c r="W91" i="9"/>
  <c r="X91" i="9" s="1"/>
  <c r="Y91" i="9" s="1"/>
  <c r="AS91" i="9"/>
  <c r="AT91" i="9" s="1"/>
  <c r="AU91" i="9" s="1"/>
  <c r="BO91" i="9"/>
  <c r="BP91" i="9" s="1"/>
  <c r="BQ91" i="9" s="1"/>
  <c r="W92" i="9"/>
  <c r="X92" i="9" s="1"/>
  <c r="Y92" i="9" s="1"/>
  <c r="AS92" i="9"/>
  <c r="AT92" i="9" s="1"/>
  <c r="AU92" i="9" s="1"/>
  <c r="BO92" i="9"/>
  <c r="BP92" i="9" s="1"/>
  <c r="BQ92" i="9" s="1"/>
  <c r="W93" i="9"/>
  <c r="X93" i="9" s="1"/>
  <c r="Y93" i="9" s="1"/>
  <c r="AS93" i="9"/>
  <c r="AT93" i="9" s="1"/>
  <c r="AU93" i="9" s="1"/>
  <c r="BO77" i="9"/>
  <c r="BP77" i="9" s="1"/>
  <c r="BQ77" i="9" s="1"/>
  <c r="M77" i="9"/>
  <c r="N77" i="9" s="1"/>
  <c r="W79" i="9"/>
  <c r="X79" i="9" s="1"/>
  <c r="Y79" i="9" s="1"/>
  <c r="L80" i="9"/>
  <c r="M80" i="9" s="1"/>
  <c r="N80" i="9" s="1"/>
  <c r="AH80" i="9"/>
  <c r="AI80" i="9" s="1"/>
  <c r="AJ80" i="9" s="1"/>
  <c r="BD80" i="9"/>
  <c r="BE80" i="9" s="1"/>
  <c r="BF80" i="9" s="1"/>
  <c r="L81" i="9"/>
  <c r="M81" i="9" s="1"/>
  <c r="N81" i="9" s="1"/>
  <c r="AH81" i="9"/>
  <c r="AI81" i="9" s="1"/>
  <c r="AJ81" i="9" s="1"/>
  <c r="BD81" i="9"/>
  <c r="BE81" i="9" s="1"/>
  <c r="BF81" i="9" s="1"/>
  <c r="L82" i="9"/>
  <c r="M82" i="9" s="1"/>
  <c r="N82" i="9" s="1"/>
  <c r="AH82" i="9"/>
  <c r="AI82" i="9" s="1"/>
  <c r="AJ82" i="9" s="1"/>
  <c r="BD82" i="9"/>
  <c r="BE82" i="9" s="1"/>
  <c r="BF82" i="9" s="1"/>
  <c r="L83" i="9"/>
  <c r="M83" i="9" s="1"/>
  <c r="N83" i="9" s="1"/>
  <c r="AH83" i="9"/>
  <c r="AI83" i="9" s="1"/>
  <c r="AJ83" i="9" s="1"/>
  <c r="BD83" i="9"/>
  <c r="BE83" i="9" s="1"/>
  <c r="BF83" i="9" s="1"/>
  <c r="AH84" i="9"/>
  <c r="AI84" i="9" s="1"/>
  <c r="AJ84" i="9" s="1"/>
  <c r="BD84" i="9"/>
  <c r="BE84" i="9" s="1"/>
  <c r="BF84" i="9" s="1"/>
  <c r="L85" i="9"/>
  <c r="M85" i="9" s="1"/>
  <c r="N85" i="9" s="1"/>
  <c r="AH85" i="9"/>
  <c r="AI85" i="9" s="1"/>
  <c r="AJ85" i="9" s="1"/>
  <c r="BD85" i="9"/>
  <c r="BE85" i="9" s="1"/>
  <c r="BF85" i="9" s="1"/>
  <c r="L86" i="9"/>
  <c r="M86" i="9" s="1"/>
  <c r="N86" i="9" s="1"/>
  <c r="AH86" i="9"/>
  <c r="AI86" i="9" s="1"/>
  <c r="AJ86" i="9" s="1"/>
  <c r="BD86" i="9"/>
  <c r="BE86" i="9" s="1"/>
  <c r="BF86" i="9" s="1"/>
  <c r="W75" i="9"/>
  <c r="X75" i="9" s="1"/>
  <c r="Y75" i="9" s="1"/>
  <c r="W73" i="9"/>
  <c r="X73" i="9" s="1"/>
  <c r="Y73" i="9" s="1"/>
  <c r="W77" i="9"/>
  <c r="X77" i="9" s="1"/>
  <c r="Y77" i="9" s="1"/>
  <c r="BP72" i="9"/>
  <c r="BQ72" i="9" s="1"/>
  <c r="AS76" i="9"/>
  <c r="AT76" i="9" s="1"/>
  <c r="AU76" i="9" s="1"/>
  <c r="AS78" i="9"/>
  <c r="AT78" i="9" s="1"/>
  <c r="AU78" i="9" s="1"/>
  <c r="BO73" i="9"/>
  <c r="BP73" i="9" s="1"/>
  <c r="BQ73" i="9" s="1"/>
  <c r="AS74" i="9"/>
  <c r="AT74" i="9" s="1"/>
  <c r="AU74" i="9" s="1"/>
  <c r="W80" i="9"/>
  <c r="X80" i="9" s="1"/>
  <c r="Y80" i="9" s="1"/>
  <c r="AS80" i="9"/>
  <c r="AT80" i="9" s="1"/>
  <c r="AU80" i="9" s="1"/>
  <c r="BO80" i="9"/>
  <c r="BP80" i="9" s="1"/>
  <c r="BQ80" i="9" s="1"/>
  <c r="W81" i="9"/>
  <c r="X81" i="9" s="1"/>
  <c r="Y81" i="9" s="1"/>
  <c r="AS81" i="9"/>
  <c r="AT81" i="9" s="1"/>
  <c r="AU81" i="9" s="1"/>
  <c r="BO81" i="9"/>
  <c r="BP81" i="9" s="1"/>
  <c r="BQ81" i="9" s="1"/>
  <c r="W82" i="9"/>
  <c r="X82" i="9" s="1"/>
  <c r="Y82" i="9" s="1"/>
  <c r="AS82" i="9"/>
  <c r="AT82" i="9" s="1"/>
  <c r="AU82" i="9" s="1"/>
  <c r="BO82" i="9"/>
  <c r="BP82" i="9" s="1"/>
  <c r="BQ82" i="9" s="1"/>
  <c r="W83" i="9"/>
  <c r="X83" i="9" s="1"/>
  <c r="Y83" i="9" s="1"/>
  <c r="AS83" i="9"/>
  <c r="AT83" i="9" s="1"/>
  <c r="AU83" i="9" s="1"/>
  <c r="BO83" i="9"/>
  <c r="BP83" i="9" s="1"/>
  <c r="BQ83" i="9" s="1"/>
  <c r="W84" i="9"/>
  <c r="X84" i="9" s="1"/>
  <c r="Y84" i="9" s="1"/>
  <c r="AS84" i="9"/>
  <c r="AT84" i="9" s="1"/>
  <c r="AU84" i="9" s="1"/>
  <c r="BO84" i="9"/>
  <c r="BP84" i="9" s="1"/>
  <c r="BQ84" i="9" s="1"/>
  <c r="W85" i="9"/>
  <c r="X85" i="9" s="1"/>
  <c r="Y85" i="9" s="1"/>
  <c r="AS85" i="9"/>
  <c r="AT85" i="9" s="1"/>
  <c r="AU85" i="9" s="1"/>
  <c r="BO85" i="9"/>
  <c r="BP85" i="9" s="1"/>
  <c r="BQ85" i="9" s="1"/>
  <c r="W86" i="9"/>
  <c r="X86" i="9" s="1"/>
  <c r="Y86" i="9" s="1"/>
  <c r="AS86" i="9"/>
  <c r="AT86" i="9" s="1"/>
  <c r="AU86" i="9" s="1"/>
  <c r="BO79" i="9"/>
  <c r="BP79" i="9" s="1"/>
  <c r="BQ79" i="9" s="1"/>
  <c r="AH73" i="9"/>
  <c r="AI73" i="9" s="1"/>
  <c r="AJ73" i="9" s="1"/>
  <c r="L74" i="9"/>
  <c r="M74" i="9" s="1"/>
  <c r="N74" i="9" s="1"/>
  <c r="BD74" i="9"/>
  <c r="BE74" i="9" s="1"/>
  <c r="BF74" i="9" s="1"/>
  <c r="AH75" i="9"/>
  <c r="AI75" i="9" s="1"/>
  <c r="AJ75" i="9" s="1"/>
  <c r="L76" i="9"/>
  <c r="M76" i="9" s="1"/>
  <c r="N76" i="9" s="1"/>
  <c r="BD76" i="9"/>
  <c r="BE76" i="9" s="1"/>
  <c r="BF76" i="9" s="1"/>
  <c r="AH77" i="9"/>
  <c r="AI77" i="9" s="1"/>
  <c r="AJ77" i="9" s="1"/>
  <c r="L78" i="9"/>
  <c r="M78" i="9" s="1"/>
  <c r="N78" i="9" s="1"/>
  <c r="BD78" i="9"/>
  <c r="BE78" i="9" s="1"/>
  <c r="BF78" i="9" s="1"/>
  <c r="AH79" i="9"/>
  <c r="AI79" i="9" s="1"/>
  <c r="AJ79" i="9" s="1"/>
  <c r="AS73" i="9"/>
  <c r="AT73" i="9" s="1"/>
  <c r="AU73" i="9" s="1"/>
  <c r="W74" i="9"/>
  <c r="X74" i="9" s="1"/>
  <c r="Y74" i="9" s="1"/>
  <c r="BO74" i="9"/>
  <c r="BP74" i="9" s="1"/>
  <c r="BQ74" i="9" s="1"/>
  <c r="AS75" i="9"/>
  <c r="AT75" i="9" s="1"/>
  <c r="AU75" i="9" s="1"/>
  <c r="W76" i="9"/>
  <c r="X76" i="9" s="1"/>
  <c r="Y76" i="9" s="1"/>
  <c r="BO76" i="9"/>
  <c r="BP76" i="9" s="1"/>
  <c r="BQ76" i="9" s="1"/>
  <c r="AS77" i="9"/>
  <c r="AT77" i="9" s="1"/>
  <c r="AU77" i="9" s="1"/>
  <c r="W78" i="9"/>
  <c r="X78" i="9" s="1"/>
  <c r="Y78" i="9" s="1"/>
  <c r="BO78" i="9"/>
  <c r="BP78" i="9" s="1"/>
  <c r="BQ78" i="9" s="1"/>
  <c r="AS79" i="9"/>
  <c r="AT79" i="9" s="1"/>
  <c r="AU79" i="9" s="1"/>
  <c r="L73" i="9"/>
  <c r="M73" i="9" s="1"/>
  <c r="N73" i="9" s="1"/>
  <c r="BD73" i="9"/>
  <c r="BE73" i="9" s="1"/>
  <c r="BF73" i="9" s="1"/>
  <c r="AH74" i="9"/>
  <c r="AI74" i="9" s="1"/>
  <c r="AJ74" i="9" s="1"/>
  <c r="L75" i="9"/>
  <c r="M75" i="9" s="1"/>
  <c r="N75" i="9" s="1"/>
  <c r="BD75" i="9"/>
  <c r="BE75" i="9" s="1"/>
  <c r="BF75" i="9" s="1"/>
  <c r="AH76" i="9"/>
  <c r="AI76" i="9" s="1"/>
  <c r="AJ76" i="9" s="1"/>
  <c r="BD77" i="9"/>
  <c r="BE77" i="9" s="1"/>
  <c r="BF77" i="9" s="1"/>
  <c r="AH78" i="9"/>
  <c r="AI78" i="9" s="1"/>
  <c r="AJ78" i="9" s="1"/>
  <c r="L79" i="9"/>
  <c r="M79" i="9" s="1"/>
  <c r="N79" i="9" s="1"/>
  <c r="L66" i="9"/>
  <c r="M66" i="9" s="1"/>
  <c r="N66" i="9" s="1"/>
  <c r="AH66" i="9"/>
  <c r="AI66" i="9" s="1"/>
  <c r="AJ66" i="9" s="1"/>
  <c r="BD66" i="9"/>
  <c r="BE66" i="9" s="1"/>
  <c r="BF66" i="9" s="1"/>
  <c r="L67" i="9"/>
  <c r="M67" i="9" s="1"/>
  <c r="N67" i="9" s="1"/>
  <c r="AH67" i="9"/>
  <c r="AI67" i="9" s="1"/>
  <c r="AJ67" i="9" s="1"/>
  <c r="BD67" i="9"/>
  <c r="BE67" i="9" s="1"/>
  <c r="BF67" i="9" s="1"/>
  <c r="L68" i="9"/>
  <c r="M68" i="9" s="1"/>
  <c r="N68" i="9" s="1"/>
  <c r="AH68" i="9"/>
  <c r="AI68" i="9" s="1"/>
  <c r="AJ68" i="9" s="1"/>
  <c r="BD68" i="9"/>
  <c r="BE68" i="9" s="1"/>
  <c r="BF68" i="9" s="1"/>
  <c r="L69" i="9"/>
  <c r="M69" i="9" s="1"/>
  <c r="N69" i="9" s="1"/>
  <c r="AH69" i="9"/>
  <c r="AI69" i="9" s="1"/>
  <c r="AJ69" i="9" s="1"/>
  <c r="BD69" i="9"/>
  <c r="BE69" i="9" s="1"/>
  <c r="BF69" i="9" s="1"/>
  <c r="AH70" i="9"/>
  <c r="AI70" i="9" s="1"/>
  <c r="AJ70" i="9" s="1"/>
  <c r="BD70" i="9"/>
  <c r="BE70" i="9" s="1"/>
  <c r="BF70" i="9" s="1"/>
  <c r="L71" i="9"/>
  <c r="M71" i="9" s="1"/>
  <c r="N71" i="9" s="1"/>
  <c r="AH71" i="9"/>
  <c r="AI71" i="9" s="1"/>
  <c r="AJ71" i="9" s="1"/>
  <c r="BD71" i="9"/>
  <c r="BE71" i="9" s="1"/>
  <c r="BF71" i="9" s="1"/>
  <c r="L72" i="9"/>
  <c r="M72" i="9" s="1"/>
  <c r="N72" i="9" s="1"/>
  <c r="AH72" i="9"/>
  <c r="AI72" i="9" s="1"/>
  <c r="AJ72" i="9" s="1"/>
  <c r="BD72" i="9"/>
  <c r="BE72" i="9" s="1"/>
  <c r="BF72" i="9" s="1"/>
  <c r="M42" i="9"/>
  <c r="N42" i="9" s="1"/>
  <c r="M63" i="9"/>
  <c r="N63" i="9" s="1"/>
  <c r="W66" i="9"/>
  <c r="X66" i="9" s="1"/>
  <c r="Y66" i="9" s="1"/>
  <c r="AS66" i="9"/>
  <c r="AT66" i="9" s="1"/>
  <c r="AU66" i="9" s="1"/>
  <c r="BO66" i="9"/>
  <c r="BP66" i="9" s="1"/>
  <c r="BQ66" i="9" s="1"/>
  <c r="W67" i="9"/>
  <c r="X67" i="9" s="1"/>
  <c r="Y67" i="9" s="1"/>
  <c r="AS67" i="9"/>
  <c r="AT67" i="9" s="1"/>
  <c r="AU67" i="9" s="1"/>
  <c r="BO67" i="9"/>
  <c r="BP67" i="9" s="1"/>
  <c r="BQ67" i="9" s="1"/>
  <c r="W68" i="9"/>
  <c r="X68" i="9" s="1"/>
  <c r="Y68" i="9" s="1"/>
  <c r="AS68" i="9"/>
  <c r="AT68" i="9" s="1"/>
  <c r="AU68" i="9" s="1"/>
  <c r="BO68" i="9"/>
  <c r="BP68" i="9" s="1"/>
  <c r="BQ68" i="9" s="1"/>
  <c r="W69" i="9"/>
  <c r="X69" i="9" s="1"/>
  <c r="Y69" i="9" s="1"/>
  <c r="AS69" i="9"/>
  <c r="AT69" i="9" s="1"/>
  <c r="AU69" i="9" s="1"/>
  <c r="BO69" i="9"/>
  <c r="BP69" i="9" s="1"/>
  <c r="BQ69" i="9" s="1"/>
  <c r="W70" i="9"/>
  <c r="X70" i="9" s="1"/>
  <c r="Y70" i="9" s="1"/>
  <c r="AS70" i="9"/>
  <c r="AT70" i="9" s="1"/>
  <c r="AU70" i="9" s="1"/>
  <c r="BO70" i="9"/>
  <c r="BP70" i="9" s="1"/>
  <c r="BQ70" i="9" s="1"/>
  <c r="W71" i="9"/>
  <c r="X71" i="9" s="1"/>
  <c r="Y71" i="9" s="1"/>
  <c r="AS71" i="9"/>
  <c r="AT71" i="9" s="1"/>
  <c r="AU71" i="9" s="1"/>
  <c r="BO71" i="9"/>
  <c r="BP71" i="9" s="1"/>
  <c r="BQ71" i="9" s="1"/>
  <c r="W72" i="9"/>
  <c r="X72" i="9" s="1"/>
  <c r="Y72" i="9" s="1"/>
  <c r="AS72" i="9"/>
  <c r="AT72" i="9" s="1"/>
  <c r="AU72" i="9" s="1"/>
  <c r="BP58" i="9"/>
  <c r="BQ58" i="9" s="1"/>
  <c r="BP37" i="9"/>
  <c r="BQ37" i="9" s="1"/>
  <c r="M49" i="9"/>
  <c r="N49" i="9" s="1"/>
  <c r="L59" i="9"/>
  <c r="M59" i="9" s="1"/>
  <c r="N59" i="9" s="1"/>
  <c r="AH59" i="9"/>
  <c r="AI59" i="9" s="1"/>
  <c r="AJ59" i="9" s="1"/>
  <c r="BD59" i="9"/>
  <c r="BE59" i="9" s="1"/>
  <c r="BF59" i="9" s="1"/>
  <c r="L60" i="9"/>
  <c r="M60" i="9" s="1"/>
  <c r="N60" i="9" s="1"/>
  <c r="AH60" i="9"/>
  <c r="AI60" i="9" s="1"/>
  <c r="AJ60" i="9" s="1"/>
  <c r="BD60" i="9"/>
  <c r="BE60" i="9" s="1"/>
  <c r="BF60" i="9" s="1"/>
  <c r="L61" i="9"/>
  <c r="M61" i="9" s="1"/>
  <c r="N61" i="9" s="1"/>
  <c r="AH61" i="9"/>
  <c r="AI61" i="9" s="1"/>
  <c r="AJ61" i="9" s="1"/>
  <c r="BD61" i="9"/>
  <c r="BE61" i="9" s="1"/>
  <c r="BF61" i="9" s="1"/>
  <c r="L62" i="9"/>
  <c r="M62" i="9" s="1"/>
  <c r="N62" i="9" s="1"/>
  <c r="AH62" i="9"/>
  <c r="AI62" i="9" s="1"/>
  <c r="AJ62" i="9" s="1"/>
  <c r="BD62" i="9"/>
  <c r="BE62" i="9" s="1"/>
  <c r="BF62" i="9" s="1"/>
  <c r="AH63" i="9"/>
  <c r="AI63" i="9" s="1"/>
  <c r="AJ63" i="9" s="1"/>
  <c r="BD63" i="9"/>
  <c r="BE63" i="9" s="1"/>
  <c r="BF63" i="9" s="1"/>
  <c r="L64" i="9"/>
  <c r="M64" i="9" s="1"/>
  <c r="N64" i="9" s="1"/>
  <c r="AH64" i="9"/>
  <c r="AI64" i="9" s="1"/>
  <c r="AJ64" i="9" s="1"/>
  <c r="BD64" i="9"/>
  <c r="BE64" i="9" s="1"/>
  <c r="BF64" i="9" s="1"/>
  <c r="L65" i="9"/>
  <c r="M65" i="9" s="1"/>
  <c r="N65" i="9" s="1"/>
  <c r="AH65" i="9"/>
  <c r="AI65" i="9" s="1"/>
  <c r="AJ65" i="9" s="1"/>
  <c r="BD65" i="9"/>
  <c r="BE65" i="9" s="1"/>
  <c r="BF65" i="9" s="1"/>
  <c r="BP23" i="9"/>
  <c r="BQ23" i="9" s="1"/>
  <c r="M56" i="9"/>
  <c r="N56" i="9" s="1"/>
  <c r="W59" i="9"/>
  <c r="X59" i="9" s="1"/>
  <c r="Y59" i="9" s="1"/>
  <c r="AS59" i="9"/>
  <c r="AT59" i="9" s="1"/>
  <c r="AU59" i="9" s="1"/>
  <c r="BO59" i="9"/>
  <c r="BP59" i="9" s="1"/>
  <c r="BQ59" i="9" s="1"/>
  <c r="W60" i="9"/>
  <c r="X60" i="9" s="1"/>
  <c r="Y60" i="9" s="1"/>
  <c r="AS60" i="9"/>
  <c r="AT60" i="9" s="1"/>
  <c r="AU60" i="9" s="1"/>
  <c r="BO60" i="9"/>
  <c r="BP60" i="9" s="1"/>
  <c r="BQ60" i="9" s="1"/>
  <c r="W61" i="9"/>
  <c r="X61" i="9" s="1"/>
  <c r="Y61" i="9" s="1"/>
  <c r="AS61" i="9"/>
  <c r="AT61" i="9" s="1"/>
  <c r="AU61" i="9" s="1"/>
  <c r="BO61" i="9"/>
  <c r="BP61" i="9" s="1"/>
  <c r="BQ61" i="9" s="1"/>
  <c r="W62" i="9"/>
  <c r="X62" i="9" s="1"/>
  <c r="Y62" i="9" s="1"/>
  <c r="AS62" i="9"/>
  <c r="AT62" i="9" s="1"/>
  <c r="AU62" i="9" s="1"/>
  <c r="BO62" i="9"/>
  <c r="BP62" i="9" s="1"/>
  <c r="BQ62" i="9" s="1"/>
  <c r="W63" i="9"/>
  <c r="X63" i="9" s="1"/>
  <c r="Y63" i="9" s="1"/>
  <c r="AS63" i="9"/>
  <c r="AT63" i="9" s="1"/>
  <c r="AU63" i="9" s="1"/>
  <c r="BO63" i="9"/>
  <c r="BP63" i="9" s="1"/>
  <c r="BQ63" i="9" s="1"/>
  <c r="W64" i="9"/>
  <c r="X64" i="9" s="1"/>
  <c r="Y64" i="9" s="1"/>
  <c r="AS64" i="9"/>
  <c r="AT64" i="9" s="1"/>
  <c r="AU64" i="9" s="1"/>
  <c r="BO64" i="9"/>
  <c r="BP64" i="9" s="1"/>
  <c r="BQ64" i="9" s="1"/>
  <c r="W65" i="9"/>
  <c r="X65" i="9" s="1"/>
  <c r="Y65" i="9" s="1"/>
  <c r="AS65" i="9"/>
  <c r="AT65" i="9" s="1"/>
  <c r="AU65" i="9" s="1"/>
  <c r="AH55" i="9"/>
  <c r="AI55" i="9" s="1"/>
  <c r="AJ55" i="9" s="1"/>
  <c r="BD53" i="9"/>
  <c r="BE53" i="9" s="1"/>
  <c r="BF53" i="9" s="1"/>
  <c r="AH56" i="9"/>
  <c r="AI56" i="9" s="1"/>
  <c r="AJ56" i="9" s="1"/>
  <c r="L58" i="9"/>
  <c r="M58" i="9" s="1"/>
  <c r="N58" i="9" s="1"/>
  <c r="L52" i="9"/>
  <c r="M52" i="9" s="1"/>
  <c r="N52" i="9" s="1"/>
  <c r="BD54" i="9"/>
  <c r="BE54" i="9" s="1"/>
  <c r="BF54" i="9" s="1"/>
  <c r="AH57" i="9"/>
  <c r="AI57" i="9" s="1"/>
  <c r="AJ57" i="9" s="1"/>
  <c r="L53" i="9"/>
  <c r="M53" i="9" s="1"/>
  <c r="N53" i="9" s="1"/>
  <c r="BD55" i="9"/>
  <c r="BE55" i="9" s="1"/>
  <c r="BF55" i="9" s="1"/>
  <c r="AH58" i="9"/>
  <c r="AI58" i="9" s="1"/>
  <c r="AJ58" i="9" s="1"/>
  <c r="L54" i="9"/>
  <c r="M54" i="9" s="1"/>
  <c r="N54" i="9" s="1"/>
  <c r="BD56" i="9"/>
  <c r="BE56" i="9" s="1"/>
  <c r="BF56" i="9" s="1"/>
  <c r="BD52" i="9"/>
  <c r="BE52" i="9" s="1"/>
  <c r="BF52" i="9" s="1"/>
  <c r="AH52" i="9"/>
  <c r="AI52" i="9" s="1"/>
  <c r="AJ52" i="9" s="1"/>
  <c r="L55" i="9"/>
  <c r="M55" i="9" s="1"/>
  <c r="N55" i="9" s="1"/>
  <c r="BD57" i="9"/>
  <c r="BE57" i="9" s="1"/>
  <c r="BF57" i="9" s="1"/>
  <c r="AH53" i="9"/>
  <c r="AI53" i="9" s="1"/>
  <c r="AJ53" i="9" s="1"/>
  <c r="BD58" i="9"/>
  <c r="BE58" i="9" s="1"/>
  <c r="BF58" i="9" s="1"/>
  <c r="AH54" i="9"/>
  <c r="AI54" i="9" s="1"/>
  <c r="AJ54" i="9" s="1"/>
  <c r="L57" i="9"/>
  <c r="M57" i="9" s="1"/>
  <c r="N57" i="9" s="1"/>
  <c r="W52" i="9"/>
  <c r="X52" i="9" s="1"/>
  <c r="Y52" i="9" s="1"/>
  <c r="AS52" i="9"/>
  <c r="AT52" i="9" s="1"/>
  <c r="AU52" i="9" s="1"/>
  <c r="BO52" i="9"/>
  <c r="BP52" i="9" s="1"/>
  <c r="BQ52" i="9" s="1"/>
  <c r="W53" i="9"/>
  <c r="X53" i="9" s="1"/>
  <c r="Y53" i="9" s="1"/>
  <c r="AS53" i="9"/>
  <c r="AT53" i="9" s="1"/>
  <c r="AU53" i="9" s="1"/>
  <c r="BO53" i="9"/>
  <c r="BP53" i="9" s="1"/>
  <c r="BQ53" i="9" s="1"/>
  <c r="W54" i="9"/>
  <c r="X54" i="9" s="1"/>
  <c r="Y54" i="9" s="1"/>
  <c r="AS54" i="9"/>
  <c r="AT54" i="9" s="1"/>
  <c r="AU54" i="9" s="1"/>
  <c r="BO54" i="9"/>
  <c r="BP54" i="9" s="1"/>
  <c r="BQ54" i="9" s="1"/>
  <c r="W55" i="9"/>
  <c r="X55" i="9" s="1"/>
  <c r="Y55" i="9" s="1"/>
  <c r="AS55" i="9"/>
  <c r="AT55" i="9" s="1"/>
  <c r="AU55" i="9" s="1"/>
  <c r="BO55" i="9"/>
  <c r="BP55" i="9" s="1"/>
  <c r="BQ55" i="9" s="1"/>
  <c r="W56" i="9"/>
  <c r="X56" i="9" s="1"/>
  <c r="Y56" i="9" s="1"/>
  <c r="AS56" i="9"/>
  <c r="AT56" i="9" s="1"/>
  <c r="AU56" i="9" s="1"/>
  <c r="BO56" i="9"/>
  <c r="BP56" i="9" s="1"/>
  <c r="BQ56" i="9" s="1"/>
  <c r="W57" i="9"/>
  <c r="X57" i="9" s="1"/>
  <c r="Y57" i="9" s="1"/>
  <c r="AS57" i="9"/>
  <c r="AT57" i="9" s="1"/>
  <c r="AU57" i="9" s="1"/>
  <c r="BO57" i="9"/>
  <c r="BP57" i="9" s="1"/>
  <c r="BQ57" i="9" s="1"/>
  <c r="W58" i="9"/>
  <c r="X58" i="9" s="1"/>
  <c r="Y58" i="9" s="1"/>
  <c r="AS58" i="9"/>
  <c r="AT58" i="9" s="1"/>
  <c r="AU58" i="9" s="1"/>
  <c r="M35" i="9"/>
  <c r="N35" i="9" s="1"/>
  <c r="L45" i="9"/>
  <c r="M45" i="9" s="1"/>
  <c r="N45" i="9" s="1"/>
  <c r="AH45" i="9"/>
  <c r="AI45" i="9" s="1"/>
  <c r="AJ45" i="9" s="1"/>
  <c r="BD45" i="9"/>
  <c r="BE45" i="9" s="1"/>
  <c r="BF45" i="9" s="1"/>
  <c r="L46" i="9"/>
  <c r="M46" i="9" s="1"/>
  <c r="N46" i="9" s="1"/>
  <c r="AH46" i="9"/>
  <c r="AI46" i="9" s="1"/>
  <c r="AJ46" i="9" s="1"/>
  <c r="BD46" i="9"/>
  <c r="BE46" i="9" s="1"/>
  <c r="BF46" i="9" s="1"/>
  <c r="L47" i="9"/>
  <c r="M47" i="9" s="1"/>
  <c r="N47" i="9" s="1"/>
  <c r="AH47" i="9"/>
  <c r="AI47" i="9" s="1"/>
  <c r="AJ47" i="9" s="1"/>
  <c r="BD47" i="9"/>
  <c r="BE47" i="9" s="1"/>
  <c r="BF47" i="9" s="1"/>
  <c r="L48" i="9"/>
  <c r="M48" i="9" s="1"/>
  <c r="N48" i="9" s="1"/>
  <c r="AH48" i="9"/>
  <c r="AI48" i="9" s="1"/>
  <c r="AJ48" i="9" s="1"/>
  <c r="BD48" i="9"/>
  <c r="BE48" i="9" s="1"/>
  <c r="BF48" i="9" s="1"/>
  <c r="AH49" i="9"/>
  <c r="AI49" i="9" s="1"/>
  <c r="AJ49" i="9" s="1"/>
  <c r="BD49" i="9"/>
  <c r="BE49" i="9" s="1"/>
  <c r="BF49" i="9" s="1"/>
  <c r="L50" i="9"/>
  <c r="M50" i="9" s="1"/>
  <c r="N50" i="9" s="1"/>
  <c r="AH50" i="9"/>
  <c r="AI50" i="9" s="1"/>
  <c r="AJ50" i="9" s="1"/>
  <c r="BD50" i="9"/>
  <c r="BE50" i="9" s="1"/>
  <c r="BF50" i="9" s="1"/>
  <c r="L51" i="9"/>
  <c r="M51" i="9" s="1"/>
  <c r="N51" i="9" s="1"/>
  <c r="AH51" i="9"/>
  <c r="AI51" i="9" s="1"/>
  <c r="AJ51" i="9" s="1"/>
  <c r="BD51" i="9"/>
  <c r="BE51" i="9" s="1"/>
  <c r="BF51" i="9" s="1"/>
  <c r="BP44" i="9"/>
  <c r="BQ44" i="9" s="1"/>
  <c r="W45" i="9"/>
  <c r="X45" i="9" s="1"/>
  <c r="Y45" i="9" s="1"/>
  <c r="AS45" i="9"/>
  <c r="AT45" i="9" s="1"/>
  <c r="AU45" i="9" s="1"/>
  <c r="BO45" i="9"/>
  <c r="BP45" i="9" s="1"/>
  <c r="BQ45" i="9" s="1"/>
  <c r="W46" i="9"/>
  <c r="X46" i="9" s="1"/>
  <c r="Y46" i="9" s="1"/>
  <c r="AS46" i="9"/>
  <c r="AT46" i="9" s="1"/>
  <c r="AU46" i="9" s="1"/>
  <c r="BO46" i="9"/>
  <c r="BP46" i="9" s="1"/>
  <c r="BQ46" i="9" s="1"/>
  <c r="W47" i="9"/>
  <c r="X47" i="9" s="1"/>
  <c r="Y47" i="9" s="1"/>
  <c r="AS47" i="9"/>
  <c r="AT47" i="9" s="1"/>
  <c r="AU47" i="9" s="1"/>
  <c r="BO47" i="9"/>
  <c r="BP47" i="9" s="1"/>
  <c r="BQ47" i="9" s="1"/>
  <c r="W48" i="9"/>
  <c r="X48" i="9" s="1"/>
  <c r="Y48" i="9" s="1"/>
  <c r="AS48" i="9"/>
  <c r="AT48" i="9" s="1"/>
  <c r="AU48" i="9" s="1"/>
  <c r="BO48" i="9"/>
  <c r="BP48" i="9" s="1"/>
  <c r="BQ48" i="9" s="1"/>
  <c r="W49" i="9"/>
  <c r="X49" i="9" s="1"/>
  <c r="Y49" i="9" s="1"/>
  <c r="AS49" i="9"/>
  <c r="AT49" i="9" s="1"/>
  <c r="AU49" i="9" s="1"/>
  <c r="BO49" i="9"/>
  <c r="BP49" i="9" s="1"/>
  <c r="BQ49" i="9" s="1"/>
  <c r="W50" i="9"/>
  <c r="X50" i="9" s="1"/>
  <c r="Y50" i="9" s="1"/>
  <c r="AS50" i="9"/>
  <c r="AT50" i="9" s="1"/>
  <c r="AU50" i="9" s="1"/>
  <c r="BO50" i="9"/>
  <c r="BP50" i="9" s="1"/>
  <c r="BQ50" i="9" s="1"/>
  <c r="W51" i="9"/>
  <c r="X51" i="9" s="1"/>
  <c r="Y51" i="9" s="1"/>
  <c r="AS51" i="9"/>
  <c r="AT51" i="9" s="1"/>
  <c r="AU51" i="9" s="1"/>
  <c r="M28" i="9"/>
  <c r="N28" i="9" s="1"/>
  <c r="L38" i="9"/>
  <c r="M38" i="9" s="1"/>
  <c r="N38" i="9" s="1"/>
  <c r="AH38" i="9"/>
  <c r="AI38" i="9" s="1"/>
  <c r="AJ38" i="9" s="1"/>
  <c r="BD38" i="9"/>
  <c r="BE38" i="9" s="1"/>
  <c r="BF38" i="9" s="1"/>
  <c r="L39" i="9"/>
  <c r="M39" i="9" s="1"/>
  <c r="N39" i="9" s="1"/>
  <c r="AH39" i="9"/>
  <c r="AI39" i="9" s="1"/>
  <c r="AJ39" i="9" s="1"/>
  <c r="BD39" i="9"/>
  <c r="BE39" i="9" s="1"/>
  <c r="BF39" i="9" s="1"/>
  <c r="L40" i="9"/>
  <c r="M40" i="9" s="1"/>
  <c r="N40" i="9" s="1"/>
  <c r="AH40" i="9"/>
  <c r="AI40" i="9" s="1"/>
  <c r="AJ40" i="9" s="1"/>
  <c r="BD40" i="9"/>
  <c r="BE40" i="9" s="1"/>
  <c r="BF40" i="9" s="1"/>
  <c r="L41" i="9"/>
  <c r="M41" i="9" s="1"/>
  <c r="N41" i="9" s="1"/>
  <c r="AH41" i="9"/>
  <c r="AI41" i="9" s="1"/>
  <c r="AJ41" i="9" s="1"/>
  <c r="BD41" i="9"/>
  <c r="BE41" i="9" s="1"/>
  <c r="BF41" i="9" s="1"/>
  <c r="AH42" i="9"/>
  <c r="AI42" i="9" s="1"/>
  <c r="AJ42" i="9" s="1"/>
  <c r="BD42" i="9"/>
  <c r="BE42" i="9" s="1"/>
  <c r="BF42" i="9" s="1"/>
  <c r="L43" i="9"/>
  <c r="M43" i="9" s="1"/>
  <c r="N43" i="9" s="1"/>
  <c r="AH43" i="9"/>
  <c r="AI43" i="9" s="1"/>
  <c r="AJ43" i="9" s="1"/>
  <c r="BD43" i="9"/>
  <c r="BE43" i="9" s="1"/>
  <c r="BF43" i="9" s="1"/>
  <c r="L44" i="9"/>
  <c r="M44" i="9" s="1"/>
  <c r="N44" i="9" s="1"/>
  <c r="AH44" i="9"/>
  <c r="AI44" i="9" s="1"/>
  <c r="AJ44" i="9" s="1"/>
  <c r="BD44" i="9"/>
  <c r="BE44" i="9" s="1"/>
  <c r="BF44" i="9" s="1"/>
  <c r="M21" i="9"/>
  <c r="N21" i="9" s="1"/>
  <c r="W38" i="9"/>
  <c r="X38" i="9" s="1"/>
  <c r="Y38" i="9" s="1"/>
  <c r="AS38" i="9"/>
  <c r="AT38" i="9" s="1"/>
  <c r="AU38" i="9" s="1"/>
  <c r="BO38" i="9"/>
  <c r="BP38" i="9" s="1"/>
  <c r="BQ38" i="9" s="1"/>
  <c r="W39" i="9"/>
  <c r="X39" i="9" s="1"/>
  <c r="Y39" i="9" s="1"/>
  <c r="AS39" i="9"/>
  <c r="AT39" i="9" s="1"/>
  <c r="AU39" i="9" s="1"/>
  <c r="BO39" i="9"/>
  <c r="BP39" i="9" s="1"/>
  <c r="BQ39" i="9" s="1"/>
  <c r="W40" i="9"/>
  <c r="X40" i="9" s="1"/>
  <c r="Y40" i="9" s="1"/>
  <c r="AS40" i="9"/>
  <c r="AT40" i="9" s="1"/>
  <c r="AU40" i="9" s="1"/>
  <c r="BO40" i="9"/>
  <c r="BP40" i="9" s="1"/>
  <c r="BQ40" i="9" s="1"/>
  <c r="W41" i="9"/>
  <c r="X41" i="9" s="1"/>
  <c r="Y41" i="9" s="1"/>
  <c r="AS41" i="9"/>
  <c r="AT41" i="9" s="1"/>
  <c r="AU41" i="9" s="1"/>
  <c r="BO41" i="9"/>
  <c r="BP41" i="9" s="1"/>
  <c r="BQ41" i="9" s="1"/>
  <c r="W42" i="9"/>
  <c r="X42" i="9" s="1"/>
  <c r="Y42" i="9" s="1"/>
  <c r="AS42" i="9"/>
  <c r="AT42" i="9" s="1"/>
  <c r="AU42" i="9" s="1"/>
  <c r="BO42" i="9"/>
  <c r="BP42" i="9" s="1"/>
  <c r="BQ42" i="9" s="1"/>
  <c r="W43" i="9"/>
  <c r="X43" i="9" s="1"/>
  <c r="Y43" i="9" s="1"/>
  <c r="AS43" i="9"/>
  <c r="AT43" i="9" s="1"/>
  <c r="AU43" i="9" s="1"/>
  <c r="BO43" i="9"/>
  <c r="BP43" i="9" s="1"/>
  <c r="BQ43" i="9" s="1"/>
  <c r="W44" i="9"/>
  <c r="X44" i="9" s="1"/>
  <c r="Y44" i="9" s="1"/>
  <c r="AS44" i="9"/>
  <c r="AT44" i="9" s="1"/>
  <c r="AU44" i="9" s="1"/>
  <c r="BP16" i="9"/>
  <c r="BQ16" i="9" s="1"/>
  <c r="BP30" i="9"/>
  <c r="BQ30" i="9" s="1"/>
  <c r="L31" i="9"/>
  <c r="M31" i="9" s="1"/>
  <c r="N31" i="9" s="1"/>
  <c r="AH31" i="9"/>
  <c r="AI31" i="9" s="1"/>
  <c r="AJ31" i="9" s="1"/>
  <c r="BD31" i="9"/>
  <c r="BE31" i="9" s="1"/>
  <c r="BF31" i="9" s="1"/>
  <c r="BD32" i="9"/>
  <c r="BE32" i="9" s="1"/>
  <c r="BF32" i="9" s="1"/>
  <c r="L32" i="9"/>
  <c r="M32" i="9" s="1"/>
  <c r="N32" i="9" s="1"/>
  <c r="AH32" i="9"/>
  <c r="AI32" i="9" s="1"/>
  <c r="AJ32" i="9" s="1"/>
  <c r="L33" i="9"/>
  <c r="M33" i="9" s="1"/>
  <c r="N33" i="9" s="1"/>
  <c r="AH33" i="9"/>
  <c r="AI33" i="9" s="1"/>
  <c r="AJ33" i="9" s="1"/>
  <c r="BD33" i="9"/>
  <c r="BE33" i="9" s="1"/>
  <c r="BF33" i="9" s="1"/>
  <c r="L34" i="9"/>
  <c r="M34" i="9" s="1"/>
  <c r="N34" i="9" s="1"/>
  <c r="AH34" i="9"/>
  <c r="AI34" i="9" s="1"/>
  <c r="AJ34" i="9" s="1"/>
  <c r="BD34" i="9"/>
  <c r="BE34" i="9" s="1"/>
  <c r="BF34" i="9" s="1"/>
  <c r="AH35" i="9"/>
  <c r="AI35" i="9" s="1"/>
  <c r="AJ35" i="9" s="1"/>
  <c r="BD35" i="9"/>
  <c r="BE35" i="9" s="1"/>
  <c r="BF35" i="9" s="1"/>
  <c r="L36" i="9"/>
  <c r="M36" i="9" s="1"/>
  <c r="N36" i="9" s="1"/>
  <c r="AH36" i="9"/>
  <c r="AI36" i="9" s="1"/>
  <c r="AJ36" i="9" s="1"/>
  <c r="BD36" i="9"/>
  <c r="BE36" i="9" s="1"/>
  <c r="BF36" i="9" s="1"/>
  <c r="L37" i="9"/>
  <c r="M37" i="9" s="1"/>
  <c r="N37" i="9" s="1"/>
  <c r="AH37" i="9"/>
  <c r="AI37" i="9" s="1"/>
  <c r="AJ37" i="9" s="1"/>
  <c r="BD37" i="9"/>
  <c r="BE37" i="9" s="1"/>
  <c r="BF37" i="9" s="1"/>
  <c r="W31" i="9"/>
  <c r="X31" i="9" s="1"/>
  <c r="Y31" i="9" s="1"/>
  <c r="AS31" i="9"/>
  <c r="AT31" i="9" s="1"/>
  <c r="AU31" i="9" s="1"/>
  <c r="BO31" i="9"/>
  <c r="BP31" i="9" s="1"/>
  <c r="BQ31" i="9" s="1"/>
  <c r="W32" i="9"/>
  <c r="X32" i="9" s="1"/>
  <c r="Y32" i="9" s="1"/>
  <c r="AS32" i="9"/>
  <c r="AT32" i="9" s="1"/>
  <c r="AU32" i="9" s="1"/>
  <c r="BO32" i="9"/>
  <c r="BP32" i="9" s="1"/>
  <c r="BQ32" i="9" s="1"/>
  <c r="W33" i="9"/>
  <c r="X33" i="9" s="1"/>
  <c r="Y33" i="9" s="1"/>
  <c r="AS33" i="9"/>
  <c r="AT33" i="9" s="1"/>
  <c r="AU33" i="9" s="1"/>
  <c r="BO33" i="9"/>
  <c r="BP33" i="9" s="1"/>
  <c r="BQ33" i="9" s="1"/>
  <c r="W34" i="9"/>
  <c r="X34" i="9" s="1"/>
  <c r="Y34" i="9" s="1"/>
  <c r="AS34" i="9"/>
  <c r="AT34" i="9" s="1"/>
  <c r="AU34" i="9" s="1"/>
  <c r="BO34" i="9"/>
  <c r="BP34" i="9" s="1"/>
  <c r="BQ34" i="9" s="1"/>
  <c r="W35" i="9"/>
  <c r="X35" i="9" s="1"/>
  <c r="Y35" i="9" s="1"/>
  <c r="AS35" i="9"/>
  <c r="AT35" i="9" s="1"/>
  <c r="AU35" i="9" s="1"/>
  <c r="BO35" i="9"/>
  <c r="BP35" i="9" s="1"/>
  <c r="BQ35" i="9" s="1"/>
  <c r="W36" i="9"/>
  <c r="X36" i="9" s="1"/>
  <c r="Y36" i="9" s="1"/>
  <c r="AS36" i="9"/>
  <c r="AT36" i="9" s="1"/>
  <c r="AU36" i="9" s="1"/>
  <c r="BO36" i="9"/>
  <c r="BP36" i="9" s="1"/>
  <c r="BQ36" i="9" s="1"/>
  <c r="W37" i="9"/>
  <c r="X37" i="9" s="1"/>
  <c r="Y37" i="9" s="1"/>
  <c r="AS37" i="9"/>
  <c r="AT37" i="9" s="1"/>
  <c r="AU37" i="9" s="1"/>
  <c r="BD24" i="9"/>
  <c r="BE24" i="9" s="1"/>
  <c r="BF24" i="9" s="1"/>
  <c r="AH27" i="9"/>
  <c r="AI27" i="9" s="1"/>
  <c r="AJ27" i="9" s="1"/>
  <c r="L30" i="9"/>
  <c r="M30" i="9" s="1"/>
  <c r="N30" i="9" s="1"/>
  <c r="BD25" i="9"/>
  <c r="BE25" i="9" s="1"/>
  <c r="BF25" i="9" s="1"/>
  <c r="AH28" i="9"/>
  <c r="AI28" i="9" s="1"/>
  <c r="AJ28" i="9" s="1"/>
  <c r="L24" i="9"/>
  <c r="M24" i="9" s="1"/>
  <c r="N24" i="9" s="1"/>
  <c r="BD26" i="9"/>
  <c r="BE26" i="9" s="1"/>
  <c r="BF26" i="9" s="1"/>
  <c r="AH29" i="9"/>
  <c r="AI29" i="9" s="1"/>
  <c r="AJ29" i="9" s="1"/>
  <c r="L25" i="9"/>
  <c r="M25" i="9" s="1"/>
  <c r="N25" i="9" s="1"/>
  <c r="BD27" i="9"/>
  <c r="BE27" i="9" s="1"/>
  <c r="BF27" i="9" s="1"/>
  <c r="AH30" i="9"/>
  <c r="AI30" i="9" s="1"/>
  <c r="AJ30" i="9" s="1"/>
  <c r="L26" i="9"/>
  <c r="M26" i="9" s="1"/>
  <c r="N26" i="9" s="1"/>
  <c r="BD28" i="9"/>
  <c r="BE28" i="9" s="1"/>
  <c r="BF28" i="9" s="1"/>
  <c r="AH24" i="9"/>
  <c r="AI24" i="9" s="1"/>
  <c r="AJ24" i="9" s="1"/>
  <c r="L27" i="9"/>
  <c r="M27" i="9" s="1"/>
  <c r="N27" i="9" s="1"/>
  <c r="BD29" i="9"/>
  <c r="BE29" i="9" s="1"/>
  <c r="BF29" i="9" s="1"/>
  <c r="AH25" i="9"/>
  <c r="AI25" i="9" s="1"/>
  <c r="AJ25" i="9" s="1"/>
  <c r="BD30" i="9"/>
  <c r="BE30" i="9" s="1"/>
  <c r="BF30" i="9" s="1"/>
  <c r="AH26" i="9"/>
  <c r="AI26" i="9" s="1"/>
  <c r="AJ26" i="9" s="1"/>
  <c r="L29" i="9"/>
  <c r="M29" i="9" s="1"/>
  <c r="N29" i="9" s="1"/>
  <c r="W24" i="9"/>
  <c r="X24" i="9" s="1"/>
  <c r="Y24" i="9" s="1"/>
  <c r="AS24" i="9"/>
  <c r="AT24" i="9" s="1"/>
  <c r="AU24" i="9" s="1"/>
  <c r="BO24" i="9"/>
  <c r="BP24" i="9" s="1"/>
  <c r="BQ24" i="9" s="1"/>
  <c r="W25" i="9"/>
  <c r="X25" i="9" s="1"/>
  <c r="Y25" i="9" s="1"/>
  <c r="AS25" i="9"/>
  <c r="AT25" i="9" s="1"/>
  <c r="AU25" i="9" s="1"/>
  <c r="BO25" i="9"/>
  <c r="BP25" i="9" s="1"/>
  <c r="BQ25" i="9" s="1"/>
  <c r="W26" i="9"/>
  <c r="X26" i="9" s="1"/>
  <c r="Y26" i="9" s="1"/>
  <c r="AS26" i="9"/>
  <c r="AT26" i="9" s="1"/>
  <c r="AU26" i="9" s="1"/>
  <c r="BO26" i="9"/>
  <c r="BP26" i="9" s="1"/>
  <c r="BQ26" i="9" s="1"/>
  <c r="W27" i="9"/>
  <c r="X27" i="9" s="1"/>
  <c r="Y27" i="9" s="1"/>
  <c r="AS27" i="9"/>
  <c r="AT27" i="9" s="1"/>
  <c r="AU27" i="9" s="1"/>
  <c r="BO27" i="9"/>
  <c r="BP27" i="9" s="1"/>
  <c r="BQ27" i="9" s="1"/>
  <c r="W28" i="9"/>
  <c r="X28" i="9" s="1"/>
  <c r="Y28" i="9" s="1"/>
  <c r="AS28" i="9"/>
  <c r="AT28" i="9" s="1"/>
  <c r="AU28" i="9" s="1"/>
  <c r="BO28" i="9"/>
  <c r="BP28" i="9" s="1"/>
  <c r="BQ28" i="9" s="1"/>
  <c r="W29" i="9"/>
  <c r="X29" i="9" s="1"/>
  <c r="Y29" i="9" s="1"/>
  <c r="AS29" i="9"/>
  <c r="AT29" i="9" s="1"/>
  <c r="AU29" i="9" s="1"/>
  <c r="BO29" i="9"/>
  <c r="BP29" i="9" s="1"/>
  <c r="BQ29" i="9" s="1"/>
  <c r="W30" i="9"/>
  <c r="X30" i="9" s="1"/>
  <c r="Y30" i="9" s="1"/>
  <c r="AS30" i="9"/>
  <c r="AT30" i="9" s="1"/>
  <c r="AU30" i="9" s="1"/>
  <c r="L17" i="9"/>
  <c r="M17" i="9" s="1"/>
  <c r="N17" i="9" s="1"/>
  <c r="BD19" i="9"/>
  <c r="BE19" i="9" s="1"/>
  <c r="BF19" i="9" s="1"/>
  <c r="BO3" i="9"/>
  <c r="L18" i="9"/>
  <c r="M18" i="9" s="1"/>
  <c r="N18" i="9" s="1"/>
  <c r="BD20" i="9"/>
  <c r="BE20" i="9" s="1"/>
  <c r="BF20" i="9" s="1"/>
  <c r="BD17" i="9"/>
  <c r="BE17" i="9" s="1"/>
  <c r="BF17" i="9" s="1"/>
  <c r="AH8" i="9"/>
  <c r="BD18" i="9"/>
  <c r="BE18" i="9" s="1"/>
  <c r="BF18" i="9" s="1"/>
  <c r="AH17" i="9"/>
  <c r="AI17" i="9" s="1"/>
  <c r="AJ17" i="9" s="1"/>
  <c r="L20" i="9"/>
  <c r="M20" i="9" s="1"/>
  <c r="N20" i="9" s="1"/>
  <c r="AH20" i="9"/>
  <c r="AI20" i="9" s="1"/>
  <c r="AJ20" i="9" s="1"/>
  <c r="AS9" i="9"/>
  <c r="L19" i="9"/>
  <c r="M19" i="9" s="1"/>
  <c r="N19" i="9" s="1"/>
  <c r="AH18" i="9"/>
  <c r="AI18" i="9" s="1"/>
  <c r="AJ18" i="9" s="1"/>
  <c r="AH19" i="9"/>
  <c r="AI19" i="9" s="1"/>
  <c r="AJ19" i="9" s="1"/>
  <c r="AH21" i="9"/>
  <c r="AI21" i="9" s="1"/>
  <c r="AJ21" i="9" s="1"/>
  <c r="BD21" i="9"/>
  <c r="BE21" i="9" s="1"/>
  <c r="BF21" i="9" s="1"/>
  <c r="L22" i="9"/>
  <c r="M22" i="9" s="1"/>
  <c r="N22" i="9" s="1"/>
  <c r="AH22" i="9"/>
  <c r="AI22" i="9" s="1"/>
  <c r="AJ22" i="9" s="1"/>
  <c r="BD22" i="9"/>
  <c r="BE22" i="9" s="1"/>
  <c r="BF22" i="9" s="1"/>
  <c r="L23" i="9"/>
  <c r="M23" i="9" s="1"/>
  <c r="N23" i="9" s="1"/>
  <c r="AH23" i="9"/>
  <c r="AI23" i="9" s="1"/>
  <c r="AJ23" i="9" s="1"/>
  <c r="BD23" i="9"/>
  <c r="BE23" i="9" s="1"/>
  <c r="BF23" i="9" s="1"/>
  <c r="AH9" i="9"/>
  <c r="BO4" i="9"/>
  <c r="AS5" i="9"/>
  <c r="BO7" i="9"/>
  <c r="AS8" i="9"/>
  <c r="W17" i="9"/>
  <c r="X17" i="9" s="1"/>
  <c r="Y17" i="9" s="1"/>
  <c r="AS17" i="9"/>
  <c r="AT17" i="9" s="1"/>
  <c r="AU17" i="9" s="1"/>
  <c r="BO17" i="9"/>
  <c r="BP17" i="9" s="1"/>
  <c r="BQ17" i="9" s="1"/>
  <c r="W18" i="9"/>
  <c r="X18" i="9" s="1"/>
  <c r="Y18" i="9" s="1"/>
  <c r="AS18" i="9"/>
  <c r="AT18" i="9" s="1"/>
  <c r="AU18" i="9" s="1"/>
  <c r="BO18" i="9"/>
  <c r="BP18" i="9" s="1"/>
  <c r="BQ18" i="9" s="1"/>
  <c r="W19" i="9"/>
  <c r="X19" i="9" s="1"/>
  <c r="Y19" i="9" s="1"/>
  <c r="AS19" i="9"/>
  <c r="AT19" i="9" s="1"/>
  <c r="AU19" i="9" s="1"/>
  <c r="BO19" i="9"/>
  <c r="BP19" i="9" s="1"/>
  <c r="BQ19" i="9" s="1"/>
  <c r="W20" i="9"/>
  <c r="X20" i="9" s="1"/>
  <c r="Y20" i="9" s="1"/>
  <c r="AS20" i="9"/>
  <c r="AT20" i="9" s="1"/>
  <c r="AU20" i="9" s="1"/>
  <c r="BO20" i="9"/>
  <c r="BP20" i="9" s="1"/>
  <c r="BQ20" i="9" s="1"/>
  <c r="W21" i="9"/>
  <c r="X21" i="9" s="1"/>
  <c r="Y21" i="9" s="1"/>
  <c r="AS21" i="9"/>
  <c r="AT21" i="9" s="1"/>
  <c r="AU21" i="9" s="1"/>
  <c r="BO21" i="9"/>
  <c r="BP21" i="9" s="1"/>
  <c r="BQ21" i="9" s="1"/>
  <c r="W22" i="9"/>
  <c r="X22" i="9" s="1"/>
  <c r="Y22" i="9" s="1"/>
  <c r="AS22" i="9"/>
  <c r="AT22" i="9" s="1"/>
  <c r="AU22" i="9" s="1"/>
  <c r="BO22" i="9"/>
  <c r="BP22" i="9" s="1"/>
  <c r="BQ22" i="9" s="1"/>
  <c r="W23" i="9"/>
  <c r="X23" i="9" s="1"/>
  <c r="Y23" i="9" s="1"/>
  <c r="AS23" i="9"/>
  <c r="AT23" i="9" s="1"/>
  <c r="AU23" i="9" s="1"/>
  <c r="BD3" i="9"/>
  <c r="M14" i="9"/>
  <c r="N14" i="9" s="1"/>
  <c r="AH4" i="9"/>
  <c r="BD6" i="9"/>
  <c r="AH7" i="9"/>
  <c r="BD9" i="9"/>
  <c r="BD10" i="9"/>
  <c r="BE10" i="9" s="1"/>
  <c r="BF10" i="9" s="1"/>
  <c r="AH13" i="9"/>
  <c r="AI13" i="9" s="1"/>
  <c r="AJ13" i="9" s="1"/>
  <c r="L16" i="9"/>
  <c r="M16" i="9" s="1"/>
  <c r="N16" i="9" s="1"/>
  <c r="AH12" i="9"/>
  <c r="AI12" i="9" s="1"/>
  <c r="AJ12" i="9" s="1"/>
  <c r="L15" i="9"/>
  <c r="M15" i="9" s="1"/>
  <c r="N15" i="9" s="1"/>
  <c r="BD11" i="9"/>
  <c r="BE11" i="9" s="1"/>
  <c r="BF11" i="9" s="1"/>
  <c r="AH14" i="9"/>
  <c r="AI14" i="9" s="1"/>
  <c r="AJ14" i="9" s="1"/>
  <c r="AH15" i="9"/>
  <c r="AI15" i="9" s="1"/>
  <c r="AJ15" i="9" s="1"/>
  <c r="AH16" i="9"/>
  <c r="AI16" i="9" s="1"/>
  <c r="AJ16" i="9" s="1"/>
  <c r="L12" i="9"/>
  <c r="M12" i="9" s="1"/>
  <c r="N12" i="9" s="1"/>
  <c r="BD14" i="9"/>
  <c r="BE14" i="9" s="1"/>
  <c r="BF14" i="9" s="1"/>
  <c r="L10" i="9"/>
  <c r="M10" i="9" s="1"/>
  <c r="N10" i="9" s="1"/>
  <c r="BD13" i="9"/>
  <c r="BE13" i="9" s="1"/>
  <c r="BF13" i="9" s="1"/>
  <c r="AH10" i="9"/>
  <c r="AI10" i="9" s="1"/>
  <c r="AJ10" i="9" s="1"/>
  <c r="L13" i="9"/>
  <c r="M13" i="9" s="1"/>
  <c r="N13" i="9" s="1"/>
  <c r="BD15" i="9"/>
  <c r="BE15" i="9" s="1"/>
  <c r="BF15" i="9" s="1"/>
  <c r="BD12" i="9"/>
  <c r="BE12" i="9" s="1"/>
  <c r="BF12" i="9" s="1"/>
  <c r="L11" i="9"/>
  <c r="M11" i="9" s="1"/>
  <c r="N11" i="9" s="1"/>
  <c r="AH11" i="9"/>
  <c r="AI11" i="9" s="1"/>
  <c r="AJ11" i="9" s="1"/>
  <c r="BD16" i="9"/>
  <c r="BE16" i="9" s="1"/>
  <c r="BF16" i="9" s="1"/>
  <c r="AS3" i="9"/>
  <c r="BD4" i="9"/>
  <c r="BO5" i="9"/>
  <c r="AH3" i="9"/>
  <c r="AS4" i="9"/>
  <c r="BD5" i="9"/>
  <c r="BO6" i="9"/>
  <c r="AH5" i="9"/>
  <c r="AS6" i="9"/>
  <c r="BD7" i="9"/>
  <c r="BO8" i="9"/>
  <c r="W10" i="9"/>
  <c r="X10" i="9" s="1"/>
  <c r="Y10" i="9" s="1"/>
  <c r="AS10" i="9"/>
  <c r="AT10" i="9" s="1"/>
  <c r="AU10" i="9" s="1"/>
  <c r="BO10" i="9"/>
  <c r="BP10" i="9" s="1"/>
  <c r="BQ10" i="9" s="1"/>
  <c r="W11" i="9"/>
  <c r="X11" i="9" s="1"/>
  <c r="Y11" i="9" s="1"/>
  <c r="AS11" i="9"/>
  <c r="AT11" i="9" s="1"/>
  <c r="AU11" i="9" s="1"/>
  <c r="BO11" i="9"/>
  <c r="BP11" i="9" s="1"/>
  <c r="BQ11" i="9" s="1"/>
  <c r="W12" i="9"/>
  <c r="X12" i="9" s="1"/>
  <c r="Y12" i="9" s="1"/>
  <c r="AS12" i="9"/>
  <c r="AT12" i="9" s="1"/>
  <c r="AU12" i="9" s="1"/>
  <c r="BO12" i="9"/>
  <c r="BP12" i="9" s="1"/>
  <c r="BQ12" i="9" s="1"/>
  <c r="W13" i="9"/>
  <c r="X13" i="9" s="1"/>
  <c r="Y13" i="9" s="1"/>
  <c r="AS13" i="9"/>
  <c r="AT13" i="9" s="1"/>
  <c r="AU13" i="9" s="1"/>
  <c r="BO13" i="9"/>
  <c r="BP13" i="9" s="1"/>
  <c r="BQ13" i="9" s="1"/>
  <c r="W14" i="9"/>
  <c r="X14" i="9" s="1"/>
  <c r="Y14" i="9" s="1"/>
  <c r="AS14" i="9"/>
  <c r="AT14" i="9" s="1"/>
  <c r="AU14" i="9" s="1"/>
  <c r="BO14" i="9"/>
  <c r="BP14" i="9" s="1"/>
  <c r="BQ14" i="9" s="1"/>
  <c r="W15" i="9"/>
  <c r="X15" i="9" s="1"/>
  <c r="Y15" i="9" s="1"/>
  <c r="AS15" i="9"/>
  <c r="AT15" i="9" s="1"/>
  <c r="AU15" i="9" s="1"/>
  <c r="BO15" i="9"/>
  <c r="BP15" i="9" s="1"/>
  <c r="BQ15" i="9" s="1"/>
  <c r="W16" i="9"/>
  <c r="X16" i="9" s="1"/>
  <c r="Y16" i="9" s="1"/>
  <c r="AS16" i="9"/>
  <c r="AT16" i="9" s="1"/>
  <c r="AU16" i="9" s="1"/>
  <c r="AH6" i="9"/>
  <c r="AS7" i="9"/>
  <c r="BD8" i="9"/>
  <c r="BO9" i="9"/>
  <c r="L6" i="9"/>
  <c r="M6" i="9" s="1"/>
  <c r="L8" i="9"/>
  <c r="M8" i="9" s="1"/>
  <c r="L9" i="9"/>
  <c r="M9" i="9" s="1"/>
  <c r="W3" i="9"/>
  <c r="L3" i="9"/>
  <c r="M3" i="9" s="1"/>
  <c r="W4" i="9"/>
  <c r="W5" i="9"/>
  <c r="L4" i="9"/>
  <c r="M4" i="9" s="1"/>
  <c r="W6" i="9"/>
  <c r="L5" i="9"/>
  <c r="M5" i="9" s="1"/>
  <c r="N5" i="9" s="1"/>
  <c r="W7" i="9"/>
  <c r="W8" i="9"/>
  <c r="M7" i="9"/>
  <c r="N7" i="9" s="1"/>
  <c r="Q54" i="1"/>
  <c r="F127" i="1"/>
  <c r="U38" i="1"/>
  <c r="U13" i="8"/>
  <c r="D13" i="8" s="1"/>
  <c r="C14" i="8"/>
  <c r="F16" i="8" s="1"/>
  <c r="C20" i="8"/>
  <c r="C26" i="8"/>
  <c r="C32" i="8"/>
  <c r="C38" i="8"/>
  <c r="U43" i="8" s="1"/>
  <c r="D43" i="8" s="1"/>
  <c r="C44" i="8"/>
  <c r="U49" i="8" s="1"/>
  <c r="D49" i="8" s="1"/>
  <c r="C50" i="8"/>
  <c r="U55" i="8" s="1"/>
  <c r="D55" i="8" s="1"/>
  <c r="C56" i="8"/>
  <c r="U61" i="8" s="1"/>
  <c r="D61" i="8" s="1"/>
  <c r="C62" i="8"/>
  <c r="F63" i="8" s="1"/>
  <c r="C68" i="8"/>
  <c r="C74" i="8"/>
  <c r="C80" i="8"/>
  <c r="C86" i="8"/>
  <c r="C92" i="8"/>
  <c r="U97" i="8" s="1"/>
  <c r="D97" i="8" s="1"/>
  <c r="C98" i="8"/>
  <c r="U103" i="8" s="1"/>
  <c r="D103" i="8" s="1"/>
  <c r="C104" i="8"/>
  <c r="U109" i="8" s="1"/>
  <c r="D109" i="8" s="1"/>
  <c r="C110" i="8"/>
  <c r="U115" i="8" s="1"/>
  <c r="D115" i="8" s="1"/>
  <c r="C116" i="8"/>
  <c r="C2" i="8"/>
  <c r="U5" i="8" s="1"/>
  <c r="D5" i="8" s="1"/>
  <c r="C14" i="1"/>
  <c r="U19" i="1" s="1"/>
  <c r="D19" i="1" s="1"/>
  <c r="C20" i="1"/>
  <c r="F24" i="1" s="1"/>
  <c r="C26" i="1"/>
  <c r="U31" i="1" s="1"/>
  <c r="D31" i="1" s="1"/>
  <c r="C32" i="1"/>
  <c r="F34" i="1" s="1"/>
  <c r="C38" i="1"/>
  <c r="U42" i="1" s="1"/>
  <c r="D42" i="1" s="1"/>
  <c r="C44" i="1"/>
  <c r="C50" i="1"/>
  <c r="U55" i="1" s="1"/>
  <c r="D55" i="1" s="1"/>
  <c r="C56" i="1"/>
  <c r="U61" i="1" s="1"/>
  <c r="D61" i="1" s="1"/>
  <c r="C62" i="1"/>
  <c r="U67" i="1" s="1"/>
  <c r="D67" i="1" s="1"/>
  <c r="C68" i="1"/>
  <c r="U73" i="1" s="1"/>
  <c r="D73" i="1" s="1"/>
  <c r="C74" i="1"/>
  <c r="C80" i="1"/>
  <c r="F81" i="1" s="1"/>
  <c r="C86" i="1"/>
  <c r="C92" i="1"/>
  <c r="U97" i="1" s="1"/>
  <c r="D97" i="1" s="1"/>
  <c r="C98" i="1"/>
  <c r="U103" i="1" s="1"/>
  <c r="D103" i="1" s="1"/>
  <c r="C104" i="1"/>
  <c r="F105" i="1" s="1"/>
  <c r="C110" i="1"/>
  <c r="U115" i="1" s="1"/>
  <c r="D115" i="1" s="1"/>
  <c r="C116" i="1"/>
  <c r="F116" i="1" s="1"/>
  <c r="C8" i="1"/>
  <c r="F10" i="1" s="1"/>
  <c r="C2" i="1"/>
  <c r="M121" i="8"/>
  <c r="M120" i="8"/>
  <c r="M119" i="8"/>
  <c r="M118" i="8"/>
  <c r="M117" i="8"/>
  <c r="M116" i="8"/>
  <c r="U121" i="8"/>
  <c r="D121" i="8" s="1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U91" i="8"/>
  <c r="D91" i="8" s="1"/>
  <c r="M85" i="8"/>
  <c r="M84" i="8"/>
  <c r="M83" i="8"/>
  <c r="M82" i="8"/>
  <c r="M81" i="8"/>
  <c r="M80" i="8"/>
  <c r="F81" i="8"/>
  <c r="M79" i="8"/>
  <c r="M78" i="8"/>
  <c r="M77" i="8"/>
  <c r="M76" i="8"/>
  <c r="M75" i="8"/>
  <c r="M74" i="8"/>
  <c r="F75" i="8"/>
  <c r="M73" i="8"/>
  <c r="M72" i="8"/>
  <c r="M71" i="8"/>
  <c r="M70" i="8"/>
  <c r="M69" i="8"/>
  <c r="M68" i="8"/>
  <c r="F69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U37" i="8"/>
  <c r="D37" i="8" s="1"/>
  <c r="M31" i="8"/>
  <c r="M30" i="8"/>
  <c r="M29" i="8"/>
  <c r="M28" i="8"/>
  <c r="M27" i="8"/>
  <c r="M26" i="8"/>
  <c r="U31" i="8"/>
  <c r="D31" i="8" s="1"/>
  <c r="M25" i="8"/>
  <c r="M24" i="8"/>
  <c r="M23" i="8"/>
  <c r="M22" i="8"/>
  <c r="M21" i="8"/>
  <c r="M20" i="8"/>
  <c r="U25" i="8"/>
  <c r="D25" i="8" s="1"/>
  <c r="M19" i="8"/>
  <c r="M18" i="8"/>
  <c r="M17" i="8"/>
  <c r="M16" i="8"/>
  <c r="M15" i="8"/>
  <c r="M14" i="8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U91" i="1"/>
  <c r="D91" i="1" s="1"/>
  <c r="M85" i="1"/>
  <c r="M84" i="1"/>
  <c r="M83" i="1"/>
  <c r="M82" i="1"/>
  <c r="M81" i="1"/>
  <c r="M80" i="1"/>
  <c r="M79" i="1"/>
  <c r="M78" i="1"/>
  <c r="M77" i="1"/>
  <c r="M76" i="1"/>
  <c r="M75" i="1"/>
  <c r="M74" i="1"/>
  <c r="U79" i="1"/>
  <c r="D79" i="1" s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F46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8"/>
  <c r="M12" i="8"/>
  <c r="M11" i="8"/>
  <c r="M10" i="8"/>
  <c r="M9" i="8"/>
  <c r="M7" i="8"/>
  <c r="M6" i="8"/>
  <c r="M5" i="8"/>
  <c r="M4" i="8"/>
  <c r="M3" i="8"/>
  <c r="M2" i="8"/>
  <c r="M13" i="1"/>
  <c r="M12" i="1"/>
  <c r="M11" i="1"/>
  <c r="M10" i="1"/>
  <c r="M9" i="1"/>
  <c r="M8" i="1"/>
  <c r="X7" i="9" l="1"/>
  <c r="X5" i="9"/>
  <c r="N6" i="9"/>
  <c r="X6" i="9" s="1"/>
  <c r="N4" i="9"/>
  <c r="X4" i="9" s="1"/>
  <c r="N3" i="9"/>
  <c r="X3" i="9" s="1"/>
  <c r="N8" i="9"/>
  <c r="X8" i="9" s="1"/>
  <c r="N9" i="9"/>
  <c r="X9" i="9" s="1"/>
  <c r="G116" i="1"/>
  <c r="H116" i="1" s="1"/>
  <c r="Q116" i="1" s="1"/>
  <c r="F117" i="1"/>
  <c r="G117" i="1" s="1"/>
  <c r="H117" i="1" s="1"/>
  <c r="Q117" i="1" s="1"/>
  <c r="U118" i="8"/>
  <c r="D118" i="8" s="1"/>
  <c r="F119" i="8"/>
  <c r="G119" i="8" s="1"/>
  <c r="H119" i="8" s="1"/>
  <c r="Q119" i="8" s="1"/>
  <c r="F116" i="8"/>
  <c r="G116" i="8" s="1"/>
  <c r="H116" i="8" s="1"/>
  <c r="Q116" i="8" s="1"/>
  <c r="U116" i="8"/>
  <c r="D116" i="8" s="1"/>
  <c r="U120" i="8"/>
  <c r="D120" i="8" s="1"/>
  <c r="F121" i="8"/>
  <c r="G121" i="8" s="1"/>
  <c r="H121" i="8" s="1"/>
  <c r="Q121" i="8" s="1"/>
  <c r="U106" i="8"/>
  <c r="D106" i="8" s="1"/>
  <c r="U112" i="8"/>
  <c r="D112" i="8" s="1"/>
  <c r="U119" i="8"/>
  <c r="D119" i="8" s="1"/>
  <c r="U117" i="8"/>
  <c r="D117" i="8" s="1"/>
  <c r="F120" i="8"/>
  <c r="G120" i="8" s="1"/>
  <c r="H120" i="8" s="1"/>
  <c r="Q120" i="8" s="1"/>
  <c r="F118" i="8"/>
  <c r="G118" i="8" s="1"/>
  <c r="H118" i="8" s="1"/>
  <c r="Q118" i="8" s="1"/>
  <c r="F117" i="8"/>
  <c r="G117" i="8" s="1"/>
  <c r="H117" i="8" s="1"/>
  <c r="Q117" i="8" s="1"/>
  <c r="U114" i="8"/>
  <c r="D114" i="8" s="1"/>
  <c r="F115" i="8"/>
  <c r="G115" i="8" s="1"/>
  <c r="H115" i="8" s="1"/>
  <c r="Q115" i="8" s="1"/>
  <c r="U113" i="8"/>
  <c r="D113" i="8" s="1"/>
  <c r="U108" i="8"/>
  <c r="D108" i="8" s="1"/>
  <c r="U111" i="8"/>
  <c r="D111" i="8" s="1"/>
  <c r="F114" i="8"/>
  <c r="G114" i="8" s="1"/>
  <c r="H114" i="8" s="1"/>
  <c r="Q114" i="8" s="1"/>
  <c r="U110" i="8"/>
  <c r="D110" i="8" s="1"/>
  <c r="F113" i="8"/>
  <c r="G113" i="8" s="1"/>
  <c r="F112" i="8"/>
  <c r="G112" i="8" s="1"/>
  <c r="H112" i="8" s="1"/>
  <c r="Q112" i="8" s="1"/>
  <c r="F111" i="8"/>
  <c r="G111" i="8" s="1"/>
  <c r="H111" i="8" s="1"/>
  <c r="Q111" i="8" s="1"/>
  <c r="F110" i="8"/>
  <c r="F109" i="8"/>
  <c r="G109" i="8" s="1"/>
  <c r="H109" i="8" s="1"/>
  <c r="Q109" i="8" s="1"/>
  <c r="U107" i="8"/>
  <c r="D107" i="8" s="1"/>
  <c r="U105" i="8"/>
  <c r="D105" i="8" s="1"/>
  <c r="F108" i="8"/>
  <c r="G108" i="8" s="1"/>
  <c r="H108" i="8" s="1"/>
  <c r="Q108" i="8" s="1"/>
  <c r="U104" i="8"/>
  <c r="D104" i="8" s="1"/>
  <c r="F107" i="8"/>
  <c r="G107" i="8" s="1"/>
  <c r="H107" i="8" s="1"/>
  <c r="Q107" i="8" s="1"/>
  <c r="F106" i="8"/>
  <c r="G106" i="8" s="1"/>
  <c r="H106" i="8" s="1"/>
  <c r="Q106" i="8" s="1"/>
  <c r="F105" i="8"/>
  <c r="G105" i="8" s="1"/>
  <c r="H105" i="8" s="1"/>
  <c r="Q105" i="8" s="1"/>
  <c r="F104" i="8"/>
  <c r="G104" i="8" s="1"/>
  <c r="H104" i="8" s="1"/>
  <c r="Q104" i="8" s="1"/>
  <c r="U102" i="8"/>
  <c r="D102" i="8" s="1"/>
  <c r="U101" i="8"/>
  <c r="D101" i="8" s="1"/>
  <c r="U100" i="8"/>
  <c r="D100" i="8" s="1"/>
  <c r="F103" i="8"/>
  <c r="G103" i="8" s="1"/>
  <c r="H103" i="8" s="1"/>
  <c r="Q103" i="8" s="1"/>
  <c r="U99" i="8"/>
  <c r="D99" i="8" s="1"/>
  <c r="F102" i="8"/>
  <c r="G102" i="8" s="1"/>
  <c r="H102" i="8" s="1"/>
  <c r="Q102" i="8" s="1"/>
  <c r="F84" i="8"/>
  <c r="G84" i="8" s="1"/>
  <c r="H84" i="8" s="1"/>
  <c r="Q84" i="8" s="1"/>
  <c r="U98" i="8"/>
  <c r="D98" i="8" s="1"/>
  <c r="F101" i="8"/>
  <c r="G101" i="8" s="1"/>
  <c r="H101" i="8" s="1"/>
  <c r="Q101" i="8" s="1"/>
  <c r="U72" i="8"/>
  <c r="D72" i="8" s="1"/>
  <c r="U78" i="8"/>
  <c r="D78" i="8" s="1"/>
  <c r="F100" i="8"/>
  <c r="G100" i="8" s="1"/>
  <c r="H100" i="8" s="1"/>
  <c r="Q100" i="8" s="1"/>
  <c r="F99" i="8"/>
  <c r="G99" i="8" s="1"/>
  <c r="H99" i="8" s="1"/>
  <c r="Q99" i="8" s="1"/>
  <c r="F98" i="8"/>
  <c r="G98" i="8" s="1"/>
  <c r="H98" i="8" s="1"/>
  <c r="Q98" i="8" s="1"/>
  <c r="F93" i="8"/>
  <c r="G93" i="8" s="1"/>
  <c r="H93" i="8" s="1"/>
  <c r="Q93" i="8" s="1"/>
  <c r="U96" i="8"/>
  <c r="D96" i="8" s="1"/>
  <c r="U95" i="8"/>
  <c r="D95" i="8" s="1"/>
  <c r="G69" i="8"/>
  <c r="H69" i="8" s="1"/>
  <c r="Q69" i="8" s="1"/>
  <c r="F85" i="8"/>
  <c r="G85" i="8" s="1"/>
  <c r="H85" i="8" s="1"/>
  <c r="Q85" i="8" s="1"/>
  <c r="U94" i="8"/>
  <c r="D94" i="8" s="1"/>
  <c r="F97" i="8"/>
  <c r="G97" i="8" s="1"/>
  <c r="H97" i="8" s="1"/>
  <c r="Q97" i="8" s="1"/>
  <c r="F80" i="8"/>
  <c r="G80" i="8" s="1"/>
  <c r="H80" i="8" s="1"/>
  <c r="Q80" i="8" s="1"/>
  <c r="U90" i="8"/>
  <c r="D90" i="8" s="1"/>
  <c r="U93" i="8"/>
  <c r="D93" i="8" s="1"/>
  <c r="F96" i="8"/>
  <c r="G96" i="8" s="1"/>
  <c r="H96" i="8" s="1"/>
  <c r="Q96" i="8" s="1"/>
  <c r="U92" i="8"/>
  <c r="D92" i="8" s="1"/>
  <c r="F95" i="8"/>
  <c r="G95" i="8" s="1"/>
  <c r="H95" i="8" s="1"/>
  <c r="Q95" i="8" s="1"/>
  <c r="F94" i="8"/>
  <c r="G94" i="8" s="1"/>
  <c r="H94" i="8" s="1"/>
  <c r="Q94" i="8" s="1"/>
  <c r="U87" i="8"/>
  <c r="D87" i="8" s="1"/>
  <c r="F92" i="8"/>
  <c r="G92" i="8" s="1"/>
  <c r="H92" i="8" s="1"/>
  <c r="Q92" i="8" s="1"/>
  <c r="F90" i="8"/>
  <c r="G90" i="8" s="1"/>
  <c r="H90" i="8" s="1"/>
  <c r="Q90" i="8" s="1"/>
  <c r="F86" i="8"/>
  <c r="G86" i="8" s="1"/>
  <c r="H86" i="8" s="1"/>
  <c r="Q86" i="8" s="1"/>
  <c r="U89" i="8"/>
  <c r="D89" i="8" s="1"/>
  <c r="G81" i="8"/>
  <c r="H81" i="8" s="1"/>
  <c r="Q81" i="8" s="1"/>
  <c r="U84" i="8"/>
  <c r="D84" i="8" s="1"/>
  <c r="U88" i="8"/>
  <c r="D88" i="8" s="1"/>
  <c r="F91" i="8"/>
  <c r="G91" i="8" s="1"/>
  <c r="H91" i="8" s="1"/>
  <c r="Q91" i="8" s="1"/>
  <c r="U86" i="8"/>
  <c r="D86" i="8" s="1"/>
  <c r="F89" i="8"/>
  <c r="G89" i="8" s="1"/>
  <c r="H89" i="8" s="1"/>
  <c r="Q89" i="8" s="1"/>
  <c r="F88" i="8"/>
  <c r="G88" i="8" s="1"/>
  <c r="H88" i="8" s="1"/>
  <c r="Q88" i="8" s="1"/>
  <c r="F87" i="8"/>
  <c r="G87" i="8" s="1"/>
  <c r="H87" i="8" s="1"/>
  <c r="Q87" i="8" s="1"/>
  <c r="U81" i="8"/>
  <c r="D81" i="8" s="1"/>
  <c r="U82" i="8"/>
  <c r="D82" i="8" s="1"/>
  <c r="U85" i="8"/>
  <c r="D85" i="8" s="1"/>
  <c r="U83" i="8"/>
  <c r="D83" i="8" s="1"/>
  <c r="F68" i="8"/>
  <c r="G68" i="8" s="1"/>
  <c r="H68" i="8" s="1"/>
  <c r="Q68" i="8" s="1"/>
  <c r="G75" i="8"/>
  <c r="H75" i="8" s="1"/>
  <c r="Q75" i="8" s="1"/>
  <c r="U79" i="8"/>
  <c r="D79" i="8" s="1"/>
  <c r="U80" i="8"/>
  <c r="D80" i="8" s="1"/>
  <c r="F83" i="8"/>
  <c r="G83" i="8" s="1"/>
  <c r="H83" i="8" s="1"/>
  <c r="Q83" i="8" s="1"/>
  <c r="F82" i="8"/>
  <c r="G82" i="8" s="1"/>
  <c r="H82" i="8" s="1"/>
  <c r="Q82" i="8" s="1"/>
  <c r="U77" i="8"/>
  <c r="D77" i="8" s="1"/>
  <c r="F74" i="8"/>
  <c r="G74" i="8" s="1"/>
  <c r="H74" i="8" s="1"/>
  <c r="Q74" i="8" s="1"/>
  <c r="F78" i="8"/>
  <c r="G78" i="8" s="1"/>
  <c r="H78" i="8" s="1"/>
  <c r="Q78" i="8" s="1"/>
  <c r="U75" i="8"/>
  <c r="D75" i="8" s="1"/>
  <c r="U68" i="8"/>
  <c r="D68" i="8" s="1"/>
  <c r="F73" i="8"/>
  <c r="G73" i="8" s="1"/>
  <c r="H73" i="8" s="1"/>
  <c r="Q73" i="8" s="1"/>
  <c r="U76" i="8"/>
  <c r="D76" i="8" s="1"/>
  <c r="F79" i="8"/>
  <c r="G79" i="8" s="1"/>
  <c r="H79" i="8" s="1"/>
  <c r="Q79" i="8" s="1"/>
  <c r="U73" i="8"/>
  <c r="D73" i="8" s="1"/>
  <c r="U74" i="8"/>
  <c r="D74" i="8" s="1"/>
  <c r="F77" i="8"/>
  <c r="G77" i="8" s="1"/>
  <c r="H77" i="8" s="1"/>
  <c r="Q77" i="8" s="1"/>
  <c r="U70" i="8"/>
  <c r="D70" i="8" s="1"/>
  <c r="F76" i="8"/>
  <c r="G76" i="8" s="1"/>
  <c r="H76" i="8" s="1"/>
  <c r="Q76" i="8" s="1"/>
  <c r="F71" i="8"/>
  <c r="G71" i="8" s="1"/>
  <c r="H71" i="8" s="1"/>
  <c r="Q71" i="8" s="1"/>
  <c r="U71" i="8"/>
  <c r="D71" i="8" s="1"/>
  <c r="U69" i="8"/>
  <c r="D69" i="8" s="1"/>
  <c r="F72" i="8"/>
  <c r="G72" i="8" s="1"/>
  <c r="H72" i="8" s="1"/>
  <c r="Q72" i="8" s="1"/>
  <c r="F70" i="8"/>
  <c r="G70" i="8" s="1"/>
  <c r="H70" i="8" s="1"/>
  <c r="Q70" i="8" s="1"/>
  <c r="G63" i="8"/>
  <c r="H63" i="8" s="1"/>
  <c r="Q63" i="8" s="1"/>
  <c r="F62" i="8"/>
  <c r="G62" i="8" s="1"/>
  <c r="H62" i="8" s="1"/>
  <c r="Q62" i="8" s="1"/>
  <c r="U67" i="8"/>
  <c r="D67" i="8" s="1"/>
  <c r="U66" i="8"/>
  <c r="D66" i="8" s="1"/>
  <c r="U65" i="8"/>
  <c r="D65" i="8" s="1"/>
  <c r="U64" i="8"/>
  <c r="D64" i="8" s="1"/>
  <c r="F67" i="8"/>
  <c r="G67" i="8" s="1"/>
  <c r="H67" i="8" s="1"/>
  <c r="Q67" i="8" s="1"/>
  <c r="U63" i="8"/>
  <c r="D63" i="8" s="1"/>
  <c r="F66" i="8"/>
  <c r="G66" i="8" s="1"/>
  <c r="H66" i="8" s="1"/>
  <c r="Q66" i="8" s="1"/>
  <c r="U62" i="8"/>
  <c r="D62" i="8" s="1"/>
  <c r="F65" i="8"/>
  <c r="G65" i="8" s="1"/>
  <c r="H65" i="8" s="1"/>
  <c r="Q65" i="8" s="1"/>
  <c r="F64" i="8"/>
  <c r="G64" i="8" s="1"/>
  <c r="H64" i="8" s="1"/>
  <c r="Q64" i="8" s="1"/>
  <c r="U58" i="8"/>
  <c r="D58" i="8" s="1"/>
  <c r="U59" i="8"/>
  <c r="D59" i="8" s="1"/>
  <c r="U60" i="8"/>
  <c r="D60" i="8" s="1"/>
  <c r="F61" i="8"/>
  <c r="G61" i="8" s="1"/>
  <c r="H61" i="8" s="1"/>
  <c r="Q61" i="8" s="1"/>
  <c r="U57" i="8"/>
  <c r="D57" i="8" s="1"/>
  <c r="F60" i="8"/>
  <c r="G60" i="8" s="1"/>
  <c r="H60" i="8" s="1"/>
  <c r="Q60" i="8" s="1"/>
  <c r="U56" i="8"/>
  <c r="D56" i="8" s="1"/>
  <c r="F59" i="8"/>
  <c r="G59" i="8" s="1"/>
  <c r="H59" i="8" s="1"/>
  <c r="Q59" i="8" s="1"/>
  <c r="F58" i="8"/>
  <c r="G58" i="8" s="1"/>
  <c r="H58" i="8" s="1"/>
  <c r="Q58" i="8" s="1"/>
  <c r="F57" i="8"/>
  <c r="G57" i="8" s="1"/>
  <c r="H57" i="8" s="1"/>
  <c r="Q57" i="8" s="1"/>
  <c r="F56" i="8"/>
  <c r="G56" i="8" s="1"/>
  <c r="H56" i="8" s="1"/>
  <c r="Q56" i="8" s="1"/>
  <c r="U51" i="8"/>
  <c r="D51" i="8" s="1"/>
  <c r="F54" i="8"/>
  <c r="G54" i="8" s="1"/>
  <c r="H54" i="8" s="1"/>
  <c r="Q54" i="8" s="1"/>
  <c r="U54" i="8"/>
  <c r="D54" i="8" s="1"/>
  <c r="U53" i="8"/>
  <c r="D53" i="8" s="1"/>
  <c r="U52" i="8"/>
  <c r="D52" i="8" s="1"/>
  <c r="F55" i="8"/>
  <c r="G55" i="8" s="1"/>
  <c r="H55" i="8" s="1"/>
  <c r="Q55" i="8" s="1"/>
  <c r="U50" i="8"/>
  <c r="D50" i="8" s="1"/>
  <c r="F53" i="8"/>
  <c r="G53" i="8" s="1"/>
  <c r="H53" i="8" s="1"/>
  <c r="Q53" i="8" s="1"/>
  <c r="F52" i="8"/>
  <c r="G52" i="8" s="1"/>
  <c r="H52" i="8" s="1"/>
  <c r="Q52" i="8" s="1"/>
  <c r="F51" i="8"/>
  <c r="G51" i="8" s="1"/>
  <c r="H51" i="8" s="1"/>
  <c r="Q51" i="8" s="1"/>
  <c r="F50" i="8"/>
  <c r="G50" i="8" s="1"/>
  <c r="H50" i="8" s="1"/>
  <c r="Q50" i="8" s="1"/>
  <c r="F44" i="8"/>
  <c r="G44" i="8" s="1"/>
  <c r="H44" i="8" s="1"/>
  <c r="Q44" i="8" s="1"/>
  <c r="U48" i="8"/>
  <c r="D48" i="8" s="1"/>
  <c r="U47" i="8"/>
  <c r="D47" i="8" s="1"/>
  <c r="U46" i="8"/>
  <c r="D46" i="8" s="1"/>
  <c r="F49" i="8"/>
  <c r="G49" i="8" s="1"/>
  <c r="H49" i="8" s="1"/>
  <c r="Q49" i="8" s="1"/>
  <c r="U45" i="8"/>
  <c r="D45" i="8" s="1"/>
  <c r="F48" i="8"/>
  <c r="G48" i="8" s="1"/>
  <c r="H48" i="8" s="1"/>
  <c r="Q48" i="8" s="1"/>
  <c r="U44" i="8"/>
  <c r="D44" i="8" s="1"/>
  <c r="F47" i="8"/>
  <c r="G47" i="8" s="1"/>
  <c r="H47" i="8" s="1"/>
  <c r="Q47" i="8" s="1"/>
  <c r="F46" i="8"/>
  <c r="G46" i="8" s="1"/>
  <c r="H46" i="8" s="1"/>
  <c r="Q46" i="8" s="1"/>
  <c r="F45" i="8"/>
  <c r="G45" i="8" s="1"/>
  <c r="H45" i="8" s="1"/>
  <c r="Q45" i="8" s="1"/>
  <c r="U40" i="8"/>
  <c r="D40" i="8" s="1"/>
  <c r="F43" i="8"/>
  <c r="G43" i="8" s="1"/>
  <c r="H43" i="8" s="1"/>
  <c r="Q43" i="8" s="1"/>
  <c r="U39" i="8"/>
  <c r="D39" i="8" s="1"/>
  <c r="F42" i="8"/>
  <c r="G42" i="8" s="1"/>
  <c r="H42" i="8" s="1"/>
  <c r="Q42" i="8" s="1"/>
  <c r="U42" i="8"/>
  <c r="D42" i="8" s="1"/>
  <c r="U41" i="8"/>
  <c r="D41" i="8" s="1"/>
  <c r="U38" i="8"/>
  <c r="D38" i="8" s="1"/>
  <c r="F41" i="8"/>
  <c r="G41" i="8" s="1"/>
  <c r="H41" i="8" s="1"/>
  <c r="Q41" i="8" s="1"/>
  <c r="F40" i="8"/>
  <c r="G40" i="8" s="1"/>
  <c r="H40" i="8" s="1"/>
  <c r="Q40" i="8" s="1"/>
  <c r="F39" i="8"/>
  <c r="G39" i="8" s="1"/>
  <c r="H39" i="8" s="1"/>
  <c r="Q39" i="8" s="1"/>
  <c r="F38" i="8"/>
  <c r="G38" i="8" s="1"/>
  <c r="H38" i="8" s="1"/>
  <c r="Q38" i="8" s="1"/>
  <c r="U35" i="8"/>
  <c r="D35" i="8" s="1"/>
  <c r="U36" i="8"/>
  <c r="D36" i="8" s="1"/>
  <c r="U34" i="8"/>
  <c r="D34" i="8" s="1"/>
  <c r="F37" i="8"/>
  <c r="G37" i="8" s="1"/>
  <c r="H37" i="8" s="1"/>
  <c r="Q37" i="8" s="1"/>
  <c r="U33" i="8"/>
  <c r="D33" i="8" s="1"/>
  <c r="F36" i="8"/>
  <c r="G36" i="8" s="1"/>
  <c r="U32" i="8"/>
  <c r="D32" i="8" s="1"/>
  <c r="F35" i="8"/>
  <c r="G35" i="8" s="1"/>
  <c r="H35" i="8" s="1"/>
  <c r="Q35" i="8" s="1"/>
  <c r="F34" i="8"/>
  <c r="G34" i="8" s="1"/>
  <c r="H34" i="8" s="1"/>
  <c r="Q34" i="8" s="1"/>
  <c r="F33" i="8"/>
  <c r="G33" i="8" s="1"/>
  <c r="H33" i="8" s="1"/>
  <c r="Q33" i="8" s="1"/>
  <c r="F32" i="8"/>
  <c r="G32" i="8" s="1"/>
  <c r="H32" i="8" s="1"/>
  <c r="Q32" i="8" s="1"/>
  <c r="U29" i="8"/>
  <c r="D29" i="8" s="1"/>
  <c r="U30" i="8"/>
  <c r="D30" i="8" s="1"/>
  <c r="U28" i="8"/>
  <c r="D28" i="8" s="1"/>
  <c r="F31" i="8"/>
  <c r="G31" i="8" s="1"/>
  <c r="H31" i="8" s="1"/>
  <c r="Q31" i="8" s="1"/>
  <c r="U27" i="8"/>
  <c r="D27" i="8" s="1"/>
  <c r="F30" i="8"/>
  <c r="G30" i="8" s="1"/>
  <c r="H30" i="8" s="1"/>
  <c r="Q30" i="8" s="1"/>
  <c r="U26" i="8"/>
  <c r="D26" i="8" s="1"/>
  <c r="F29" i="8"/>
  <c r="G29" i="8" s="1"/>
  <c r="H29" i="8" s="1"/>
  <c r="Q29" i="8" s="1"/>
  <c r="F28" i="8"/>
  <c r="G28" i="8" s="1"/>
  <c r="H28" i="8" s="1"/>
  <c r="Q28" i="8" s="1"/>
  <c r="F27" i="8"/>
  <c r="G27" i="8" s="1"/>
  <c r="H27" i="8" s="1"/>
  <c r="Q27" i="8" s="1"/>
  <c r="F26" i="8"/>
  <c r="G26" i="8" s="1"/>
  <c r="H26" i="8" s="1"/>
  <c r="Q26" i="8" s="1"/>
  <c r="F23" i="8"/>
  <c r="G23" i="8" s="1"/>
  <c r="H23" i="8" s="1"/>
  <c r="Q23" i="8" s="1"/>
  <c r="U23" i="8"/>
  <c r="D23" i="8" s="1"/>
  <c r="U24" i="8"/>
  <c r="D24" i="8" s="1"/>
  <c r="U20" i="8"/>
  <c r="D20" i="8" s="1"/>
  <c r="U22" i="8"/>
  <c r="D22" i="8" s="1"/>
  <c r="F25" i="8"/>
  <c r="G25" i="8" s="1"/>
  <c r="H25" i="8" s="1"/>
  <c r="Q25" i="8" s="1"/>
  <c r="U21" i="8"/>
  <c r="D21" i="8" s="1"/>
  <c r="F24" i="8"/>
  <c r="G24" i="8" s="1"/>
  <c r="H24" i="8" s="1"/>
  <c r="Q24" i="8" s="1"/>
  <c r="F22" i="8"/>
  <c r="G22" i="8" s="1"/>
  <c r="H22" i="8" s="1"/>
  <c r="Q22" i="8" s="1"/>
  <c r="F21" i="8"/>
  <c r="G21" i="8" s="1"/>
  <c r="H21" i="8" s="1"/>
  <c r="Q21" i="8" s="1"/>
  <c r="F20" i="8"/>
  <c r="G20" i="8" s="1"/>
  <c r="H20" i="8" s="1"/>
  <c r="Q20" i="8" s="1"/>
  <c r="G16" i="8"/>
  <c r="H16" i="8" s="1"/>
  <c r="Q16" i="8" s="1"/>
  <c r="U15" i="8"/>
  <c r="D15" i="8" s="1"/>
  <c r="F14" i="8"/>
  <c r="G14" i="8" s="1"/>
  <c r="H14" i="8" s="1"/>
  <c r="Q14" i="8" s="1"/>
  <c r="F18" i="8"/>
  <c r="G18" i="8" s="1"/>
  <c r="H18" i="8" s="1"/>
  <c r="Q18" i="8" s="1"/>
  <c r="F15" i="8"/>
  <c r="G15" i="8" s="1"/>
  <c r="H15" i="8" s="1"/>
  <c r="Q15" i="8" s="1"/>
  <c r="U18" i="8"/>
  <c r="D18" i="8" s="1"/>
  <c r="U19" i="8"/>
  <c r="D19" i="8" s="1"/>
  <c r="U17" i="8"/>
  <c r="D17" i="8" s="1"/>
  <c r="U16" i="8"/>
  <c r="D16" i="8" s="1"/>
  <c r="F19" i="8"/>
  <c r="G19" i="8" s="1"/>
  <c r="H19" i="8" s="1"/>
  <c r="Q19" i="8" s="1"/>
  <c r="U14" i="8"/>
  <c r="D14" i="8" s="1"/>
  <c r="F17" i="8"/>
  <c r="G17" i="8" s="1"/>
  <c r="H17" i="8" s="1"/>
  <c r="Q17" i="8" s="1"/>
  <c r="U121" i="1"/>
  <c r="D121" i="1" s="1"/>
  <c r="U120" i="1"/>
  <c r="D120" i="1" s="1"/>
  <c r="U119" i="1"/>
  <c r="D119" i="1" s="1"/>
  <c r="U118" i="1"/>
  <c r="D118" i="1" s="1"/>
  <c r="F121" i="1"/>
  <c r="G121" i="1" s="1"/>
  <c r="H121" i="1" s="1"/>
  <c r="Q121" i="1" s="1"/>
  <c r="U117" i="1"/>
  <c r="D117" i="1" s="1"/>
  <c r="F120" i="1"/>
  <c r="G120" i="1" s="1"/>
  <c r="H120" i="1" s="1"/>
  <c r="Q120" i="1" s="1"/>
  <c r="U116" i="1"/>
  <c r="D116" i="1" s="1"/>
  <c r="F119" i="1"/>
  <c r="G119" i="1" s="1"/>
  <c r="H119" i="1" s="1"/>
  <c r="Q119" i="1" s="1"/>
  <c r="F118" i="1"/>
  <c r="G118" i="1" s="1"/>
  <c r="H118" i="1" s="1"/>
  <c r="Q118" i="1" s="1"/>
  <c r="F111" i="1"/>
  <c r="G111" i="1" s="1"/>
  <c r="H111" i="1" s="1"/>
  <c r="Q111" i="1" s="1"/>
  <c r="F104" i="1"/>
  <c r="G104" i="1" s="1"/>
  <c r="H104" i="1" s="1"/>
  <c r="Q104" i="1" s="1"/>
  <c r="U114" i="1"/>
  <c r="D114" i="1" s="1"/>
  <c r="U113" i="1"/>
  <c r="D113" i="1" s="1"/>
  <c r="U112" i="1"/>
  <c r="D112" i="1" s="1"/>
  <c r="F115" i="1"/>
  <c r="G115" i="1" s="1"/>
  <c r="H115" i="1" s="1"/>
  <c r="Q115" i="1" s="1"/>
  <c r="U111" i="1"/>
  <c r="D111" i="1" s="1"/>
  <c r="F114" i="1"/>
  <c r="G114" i="1" s="1"/>
  <c r="H114" i="1" s="1"/>
  <c r="Q114" i="1" s="1"/>
  <c r="G105" i="1"/>
  <c r="H105" i="1" s="1"/>
  <c r="Q105" i="1" s="1"/>
  <c r="U109" i="1"/>
  <c r="D109" i="1" s="1"/>
  <c r="U110" i="1"/>
  <c r="D110" i="1" s="1"/>
  <c r="F113" i="1"/>
  <c r="G113" i="1" s="1"/>
  <c r="H113" i="1" s="1"/>
  <c r="Q113" i="1" s="1"/>
  <c r="F112" i="1"/>
  <c r="G112" i="1" s="1"/>
  <c r="H112" i="1" s="1"/>
  <c r="Q112" i="1" s="1"/>
  <c r="F110" i="1"/>
  <c r="G110" i="1" s="1"/>
  <c r="H110" i="1" s="1"/>
  <c r="Q110" i="1" s="1"/>
  <c r="U108" i="1"/>
  <c r="D108" i="1" s="1"/>
  <c r="U93" i="1"/>
  <c r="D93" i="1" s="1"/>
  <c r="U107" i="1"/>
  <c r="D107" i="1" s="1"/>
  <c r="U106" i="1"/>
  <c r="D106" i="1" s="1"/>
  <c r="F109" i="1"/>
  <c r="G109" i="1" s="1"/>
  <c r="H109" i="1" s="1"/>
  <c r="Q109" i="1" s="1"/>
  <c r="U105" i="1"/>
  <c r="D105" i="1" s="1"/>
  <c r="F108" i="1"/>
  <c r="G108" i="1" s="1"/>
  <c r="H108" i="1" s="1"/>
  <c r="Q108" i="1" s="1"/>
  <c r="U104" i="1"/>
  <c r="D104" i="1" s="1"/>
  <c r="F107" i="1"/>
  <c r="G107" i="1" s="1"/>
  <c r="H107" i="1" s="1"/>
  <c r="Q107" i="1" s="1"/>
  <c r="F106" i="1"/>
  <c r="G106" i="1" s="1"/>
  <c r="H106" i="1" s="1"/>
  <c r="Q106" i="1" s="1"/>
  <c r="U101" i="1"/>
  <c r="D101" i="1" s="1"/>
  <c r="U102" i="1"/>
  <c r="D102" i="1" s="1"/>
  <c r="U100" i="1"/>
  <c r="D100" i="1" s="1"/>
  <c r="F103" i="1"/>
  <c r="G103" i="1" s="1"/>
  <c r="H103" i="1" s="1"/>
  <c r="Q103" i="1" s="1"/>
  <c r="U99" i="1"/>
  <c r="D99" i="1" s="1"/>
  <c r="F102" i="1"/>
  <c r="G102" i="1" s="1"/>
  <c r="H102" i="1" s="1"/>
  <c r="Q102" i="1" s="1"/>
  <c r="U77" i="1"/>
  <c r="D77" i="1" s="1"/>
  <c r="U98" i="1"/>
  <c r="D98" i="1" s="1"/>
  <c r="F101" i="1"/>
  <c r="G101" i="1" s="1"/>
  <c r="H101" i="1" s="1"/>
  <c r="Q101" i="1" s="1"/>
  <c r="F100" i="1"/>
  <c r="G100" i="1" s="1"/>
  <c r="H100" i="1" s="1"/>
  <c r="Q100" i="1" s="1"/>
  <c r="F99" i="1"/>
  <c r="G99" i="1" s="1"/>
  <c r="H99" i="1" s="1"/>
  <c r="Q99" i="1" s="1"/>
  <c r="F98" i="1"/>
  <c r="G98" i="1" s="1"/>
  <c r="H98" i="1" s="1"/>
  <c r="Q98" i="1" s="1"/>
  <c r="U94" i="1"/>
  <c r="D94" i="1" s="1"/>
  <c r="F96" i="1"/>
  <c r="G96" i="1" s="1"/>
  <c r="H96" i="1" s="1"/>
  <c r="Q96" i="1" s="1"/>
  <c r="F93" i="1"/>
  <c r="G93" i="1" s="1"/>
  <c r="H93" i="1" s="1"/>
  <c r="Q93" i="1" s="1"/>
  <c r="F97" i="1"/>
  <c r="G97" i="1" s="1"/>
  <c r="H97" i="1" s="1"/>
  <c r="Q97" i="1" s="1"/>
  <c r="U96" i="1"/>
  <c r="D96" i="1" s="1"/>
  <c r="U95" i="1"/>
  <c r="D95" i="1" s="1"/>
  <c r="U92" i="1"/>
  <c r="D92" i="1" s="1"/>
  <c r="F95" i="1"/>
  <c r="G95" i="1" s="1"/>
  <c r="H95" i="1" s="1"/>
  <c r="Q95" i="1" s="1"/>
  <c r="U78" i="1"/>
  <c r="D78" i="1" s="1"/>
  <c r="F94" i="1"/>
  <c r="G94" i="1" s="1"/>
  <c r="H94" i="1" s="1"/>
  <c r="Q94" i="1" s="1"/>
  <c r="F92" i="1"/>
  <c r="G92" i="1" s="1"/>
  <c r="H92" i="1" s="1"/>
  <c r="Q92" i="1" s="1"/>
  <c r="U90" i="1"/>
  <c r="D90" i="1" s="1"/>
  <c r="U89" i="1"/>
  <c r="D89" i="1" s="1"/>
  <c r="U80" i="1"/>
  <c r="D80" i="1" s="1"/>
  <c r="U84" i="1"/>
  <c r="D84" i="1" s="1"/>
  <c r="U81" i="1"/>
  <c r="D81" i="1" s="1"/>
  <c r="F84" i="1"/>
  <c r="G84" i="1" s="1"/>
  <c r="H84" i="1" s="1"/>
  <c r="Q84" i="1" s="1"/>
  <c r="U88" i="1"/>
  <c r="D88" i="1" s="1"/>
  <c r="F91" i="1"/>
  <c r="G91" i="1" s="1"/>
  <c r="H91" i="1" s="1"/>
  <c r="Q91" i="1" s="1"/>
  <c r="U87" i="1"/>
  <c r="D87" i="1" s="1"/>
  <c r="F90" i="1"/>
  <c r="G90" i="1" s="1"/>
  <c r="H90" i="1" s="1"/>
  <c r="Q90" i="1" s="1"/>
  <c r="U85" i="1"/>
  <c r="D85" i="1" s="1"/>
  <c r="U86" i="1"/>
  <c r="D86" i="1" s="1"/>
  <c r="F89" i="1"/>
  <c r="G89" i="1" s="1"/>
  <c r="H89" i="1" s="1"/>
  <c r="Q89" i="1" s="1"/>
  <c r="G81" i="1"/>
  <c r="H81" i="1" s="1"/>
  <c r="Q81" i="1" s="1"/>
  <c r="F83" i="1"/>
  <c r="G83" i="1" s="1"/>
  <c r="H83" i="1" s="1"/>
  <c r="Q83" i="1" s="1"/>
  <c r="F88" i="1"/>
  <c r="G88" i="1" s="1"/>
  <c r="H88" i="1" s="1"/>
  <c r="Q88" i="1" s="1"/>
  <c r="F80" i="1"/>
  <c r="G80" i="1" s="1"/>
  <c r="H80" i="1" s="1"/>
  <c r="Q80" i="1" s="1"/>
  <c r="F87" i="1"/>
  <c r="G87" i="1" s="1"/>
  <c r="H87" i="1" s="1"/>
  <c r="Q87" i="1" s="1"/>
  <c r="U83" i="1"/>
  <c r="D83" i="1" s="1"/>
  <c r="F86" i="1"/>
  <c r="G86" i="1" s="1"/>
  <c r="H86" i="1" s="1"/>
  <c r="Q86" i="1" s="1"/>
  <c r="U82" i="1"/>
  <c r="D82" i="1" s="1"/>
  <c r="F85" i="1"/>
  <c r="G85" i="1" s="1"/>
  <c r="H85" i="1" s="1"/>
  <c r="Q85" i="1" s="1"/>
  <c r="F82" i="1"/>
  <c r="G82" i="1" s="1"/>
  <c r="H82" i="1" s="1"/>
  <c r="Q82" i="1" s="1"/>
  <c r="U76" i="1"/>
  <c r="D76" i="1" s="1"/>
  <c r="F79" i="1"/>
  <c r="G79" i="1" s="1"/>
  <c r="H79" i="1" s="1"/>
  <c r="Q79" i="1" s="1"/>
  <c r="U75" i="1"/>
  <c r="D75" i="1" s="1"/>
  <c r="F78" i="1"/>
  <c r="G78" i="1" s="1"/>
  <c r="H78" i="1" s="1"/>
  <c r="Q78" i="1" s="1"/>
  <c r="U74" i="1"/>
  <c r="D74" i="1" s="1"/>
  <c r="F77" i="1"/>
  <c r="G77" i="1" s="1"/>
  <c r="H77" i="1" s="1"/>
  <c r="Q77" i="1" s="1"/>
  <c r="F76" i="1"/>
  <c r="G76" i="1" s="1"/>
  <c r="H76" i="1" s="1"/>
  <c r="Q76" i="1" s="1"/>
  <c r="F75" i="1"/>
  <c r="G75" i="1" s="1"/>
  <c r="H75" i="1" s="1"/>
  <c r="Q75" i="1" s="1"/>
  <c r="F74" i="1"/>
  <c r="G74" i="1" s="1"/>
  <c r="H74" i="1" s="1"/>
  <c r="Q74" i="1" s="1"/>
  <c r="U63" i="1"/>
  <c r="D63" i="1" s="1"/>
  <c r="U72" i="1"/>
  <c r="D72" i="1" s="1"/>
  <c r="U71" i="1"/>
  <c r="D71" i="1" s="1"/>
  <c r="U70" i="1"/>
  <c r="D70" i="1" s="1"/>
  <c r="F73" i="1"/>
  <c r="G73" i="1" s="1"/>
  <c r="H73" i="1" s="1"/>
  <c r="Q73" i="1" s="1"/>
  <c r="U69" i="1"/>
  <c r="D69" i="1" s="1"/>
  <c r="F72" i="1"/>
  <c r="G72" i="1" s="1"/>
  <c r="H72" i="1" s="1"/>
  <c r="Q72" i="1" s="1"/>
  <c r="U68" i="1"/>
  <c r="D68" i="1" s="1"/>
  <c r="F71" i="1"/>
  <c r="G71" i="1" s="1"/>
  <c r="H71" i="1" s="1"/>
  <c r="Q71" i="1" s="1"/>
  <c r="F70" i="1"/>
  <c r="G70" i="1" s="1"/>
  <c r="H70" i="1" s="1"/>
  <c r="Q70" i="1" s="1"/>
  <c r="F69" i="1"/>
  <c r="G69" i="1" s="1"/>
  <c r="H69" i="1" s="1"/>
  <c r="Q69" i="1" s="1"/>
  <c r="F57" i="1"/>
  <c r="G57" i="1" s="1"/>
  <c r="H57" i="1" s="1"/>
  <c r="Q57" i="1" s="1"/>
  <c r="F68" i="1"/>
  <c r="G68" i="1" s="1"/>
  <c r="H68" i="1" s="1"/>
  <c r="Q68" i="1" s="1"/>
  <c r="U58" i="1"/>
  <c r="D58" i="1" s="1"/>
  <c r="U64" i="1"/>
  <c r="D64" i="1" s="1"/>
  <c r="F49" i="1"/>
  <c r="G49" i="1" s="1"/>
  <c r="H49" i="1" s="1"/>
  <c r="Q49" i="1" s="1"/>
  <c r="F66" i="1"/>
  <c r="G66" i="1" s="1"/>
  <c r="H66" i="1" s="1"/>
  <c r="Q66" i="1" s="1"/>
  <c r="F67" i="1"/>
  <c r="G67" i="1" s="1"/>
  <c r="H67" i="1" s="1"/>
  <c r="Q67" i="1" s="1"/>
  <c r="U66" i="1"/>
  <c r="D66" i="1" s="1"/>
  <c r="U65" i="1"/>
  <c r="D65" i="1" s="1"/>
  <c r="U49" i="1"/>
  <c r="D49" i="1" s="1"/>
  <c r="U62" i="1"/>
  <c r="D62" i="1" s="1"/>
  <c r="F65" i="1"/>
  <c r="G65" i="1" s="1"/>
  <c r="H65" i="1" s="1"/>
  <c r="Q65" i="1" s="1"/>
  <c r="F64" i="1"/>
  <c r="G64" i="1" s="1"/>
  <c r="H64" i="1" s="1"/>
  <c r="Q64" i="1" s="1"/>
  <c r="F63" i="1"/>
  <c r="G63" i="1" s="1"/>
  <c r="H63" i="1" s="1"/>
  <c r="Q63" i="1" s="1"/>
  <c r="F62" i="1"/>
  <c r="G62" i="1" s="1"/>
  <c r="H62" i="1" s="1"/>
  <c r="Q62" i="1" s="1"/>
  <c r="F61" i="1"/>
  <c r="G61" i="1" s="1"/>
  <c r="H61" i="1" s="1"/>
  <c r="Q61" i="1" s="1"/>
  <c r="U60" i="1"/>
  <c r="D60" i="1" s="1"/>
  <c r="F48" i="1"/>
  <c r="G48" i="1" s="1"/>
  <c r="H48" i="1" s="1"/>
  <c r="Q48" i="1" s="1"/>
  <c r="U59" i="1"/>
  <c r="D59" i="1" s="1"/>
  <c r="U57" i="1"/>
  <c r="D57" i="1" s="1"/>
  <c r="F60" i="1"/>
  <c r="G60" i="1" s="1"/>
  <c r="H60" i="1" s="1"/>
  <c r="Q60" i="1" s="1"/>
  <c r="U56" i="1"/>
  <c r="D56" i="1" s="1"/>
  <c r="F59" i="1"/>
  <c r="G59" i="1" s="1"/>
  <c r="H59" i="1" s="1"/>
  <c r="Q59" i="1" s="1"/>
  <c r="F58" i="1"/>
  <c r="G58" i="1" s="1"/>
  <c r="H58" i="1" s="1"/>
  <c r="Q58" i="1" s="1"/>
  <c r="F56" i="1"/>
  <c r="G56" i="1" s="1"/>
  <c r="H56" i="1" s="1"/>
  <c r="Q56" i="1" s="1"/>
  <c r="U50" i="1"/>
  <c r="D50" i="1" s="1"/>
  <c r="F53" i="1"/>
  <c r="G53" i="1" s="1"/>
  <c r="H53" i="1" s="1"/>
  <c r="Q53" i="1" s="1"/>
  <c r="F51" i="1"/>
  <c r="G51" i="1" s="1"/>
  <c r="H51" i="1" s="1"/>
  <c r="Q51" i="1" s="1"/>
  <c r="U54" i="1"/>
  <c r="D54" i="1" s="1"/>
  <c r="F52" i="1"/>
  <c r="G52" i="1" s="1"/>
  <c r="H52" i="1" s="1"/>
  <c r="Q52" i="1" s="1"/>
  <c r="U53" i="1"/>
  <c r="D53" i="1" s="1"/>
  <c r="U52" i="1"/>
  <c r="D52" i="1" s="1"/>
  <c r="F55" i="1"/>
  <c r="G55" i="1" s="1"/>
  <c r="H55" i="1" s="1"/>
  <c r="Q55" i="1" s="1"/>
  <c r="U43" i="1"/>
  <c r="D43" i="1" s="1"/>
  <c r="U51" i="1"/>
  <c r="D51" i="1" s="1"/>
  <c r="F54" i="1"/>
  <c r="G54" i="1" s="1"/>
  <c r="H54" i="1" s="1"/>
  <c r="F50" i="1"/>
  <c r="G50" i="1" s="1"/>
  <c r="H50" i="1" s="1"/>
  <c r="Q50" i="1" s="1"/>
  <c r="G46" i="1"/>
  <c r="H46" i="1" s="1"/>
  <c r="Q46" i="1" s="1"/>
  <c r="U45" i="1"/>
  <c r="D45" i="1" s="1"/>
  <c r="F44" i="1"/>
  <c r="G44" i="1" s="1"/>
  <c r="H44" i="1" s="1"/>
  <c r="Q44" i="1" s="1"/>
  <c r="F47" i="1"/>
  <c r="G47" i="1" s="1"/>
  <c r="H47" i="1" s="1"/>
  <c r="Q47" i="1" s="1"/>
  <c r="F45" i="1"/>
  <c r="G45" i="1" s="1"/>
  <c r="H45" i="1" s="1"/>
  <c r="Q45" i="1" s="1"/>
  <c r="U48" i="1"/>
  <c r="D48" i="1" s="1"/>
  <c r="U46" i="1"/>
  <c r="D46" i="1" s="1"/>
  <c r="U44" i="1"/>
  <c r="D44" i="1" s="1"/>
  <c r="U41" i="1"/>
  <c r="D41" i="1" s="1"/>
  <c r="U47" i="1"/>
  <c r="D47" i="1" s="1"/>
  <c r="U40" i="1"/>
  <c r="D40" i="1" s="1"/>
  <c r="F43" i="1"/>
  <c r="G43" i="1" s="1"/>
  <c r="H43" i="1" s="1"/>
  <c r="Q43" i="1" s="1"/>
  <c r="U39" i="1"/>
  <c r="D39" i="1" s="1"/>
  <c r="F42" i="1"/>
  <c r="G42" i="1" s="1"/>
  <c r="H42" i="1" s="1"/>
  <c r="Q42" i="1" s="1"/>
  <c r="D38" i="1"/>
  <c r="F41" i="1"/>
  <c r="G41" i="1" s="1"/>
  <c r="H41" i="1" s="1"/>
  <c r="Q41" i="1" s="1"/>
  <c r="F40" i="1"/>
  <c r="G40" i="1" s="1"/>
  <c r="H40" i="1" s="1"/>
  <c r="Q40" i="1" s="1"/>
  <c r="G34" i="1"/>
  <c r="H34" i="1" s="1"/>
  <c r="Q34" i="1" s="1"/>
  <c r="F39" i="1"/>
  <c r="G39" i="1" s="1"/>
  <c r="H39" i="1" s="1"/>
  <c r="Q39" i="1" s="1"/>
  <c r="F38" i="1"/>
  <c r="G38" i="1" s="1"/>
  <c r="H38" i="1" s="1"/>
  <c r="Q38" i="1" s="1"/>
  <c r="G24" i="1"/>
  <c r="H24" i="1" s="1"/>
  <c r="Q24" i="1" s="1"/>
  <c r="F33" i="1"/>
  <c r="G33" i="1" s="1"/>
  <c r="H33" i="1" s="1"/>
  <c r="Q33" i="1" s="1"/>
  <c r="U36" i="1"/>
  <c r="D36" i="1" s="1"/>
  <c r="F32" i="1"/>
  <c r="G32" i="1" s="1"/>
  <c r="H32" i="1" s="1"/>
  <c r="Q32" i="1" s="1"/>
  <c r="F36" i="1"/>
  <c r="G36" i="1" s="1"/>
  <c r="H36" i="1" s="1"/>
  <c r="Q36" i="1" s="1"/>
  <c r="U33" i="1"/>
  <c r="D33" i="1" s="1"/>
  <c r="F37" i="1"/>
  <c r="G37" i="1" s="1"/>
  <c r="H37" i="1" s="1"/>
  <c r="Q37" i="1" s="1"/>
  <c r="U34" i="1"/>
  <c r="D34" i="1" s="1"/>
  <c r="U37" i="1"/>
  <c r="D37" i="1" s="1"/>
  <c r="U35" i="1"/>
  <c r="D35" i="1" s="1"/>
  <c r="U32" i="1"/>
  <c r="D32" i="1" s="1"/>
  <c r="F35" i="1"/>
  <c r="G35" i="1" s="1"/>
  <c r="H35" i="1" s="1"/>
  <c r="Q35" i="1" s="1"/>
  <c r="F28" i="1"/>
  <c r="G28" i="1" s="1"/>
  <c r="H28" i="1" s="1"/>
  <c r="Q28" i="1" s="1"/>
  <c r="U29" i="1"/>
  <c r="D29" i="1" s="1"/>
  <c r="U28" i="1"/>
  <c r="D28" i="1" s="1"/>
  <c r="F31" i="1"/>
  <c r="G31" i="1" s="1"/>
  <c r="H31" i="1" s="1"/>
  <c r="Q31" i="1" s="1"/>
  <c r="U30" i="1"/>
  <c r="D30" i="1" s="1"/>
  <c r="U27" i="1"/>
  <c r="D27" i="1" s="1"/>
  <c r="F30" i="1"/>
  <c r="G30" i="1" s="1"/>
  <c r="H30" i="1" s="1"/>
  <c r="Q30" i="1" s="1"/>
  <c r="U26" i="1"/>
  <c r="D26" i="1" s="1"/>
  <c r="F29" i="1"/>
  <c r="G29" i="1" s="1"/>
  <c r="H29" i="1" s="1"/>
  <c r="Q29" i="1" s="1"/>
  <c r="F27" i="1"/>
  <c r="G27" i="1" s="1"/>
  <c r="H27" i="1" s="1"/>
  <c r="Q27" i="1" s="1"/>
  <c r="F26" i="1"/>
  <c r="G26" i="1" s="1"/>
  <c r="H26" i="1" s="1"/>
  <c r="Q26" i="1" s="1"/>
  <c r="U20" i="1"/>
  <c r="D20" i="1" s="1"/>
  <c r="F23" i="1"/>
  <c r="G23" i="1" s="1"/>
  <c r="H23" i="1" s="1"/>
  <c r="Q23" i="1" s="1"/>
  <c r="F20" i="1"/>
  <c r="G20" i="1" s="1"/>
  <c r="H20" i="1" s="1"/>
  <c r="Q20" i="1" s="1"/>
  <c r="U25" i="1"/>
  <c r="D25" i="1" s="1"/>
  <c r="U24" i="1"/>
  <c r="D24" i="1" s="1"/>
  <c r="F22" i="1"/>
  <c r="G22" i="1" s="1"/>
  <c r="H22" i="1" s="1"/>
  <c r="Q22" i="1" s="1"/>
  <c r="F21" i="1"/>
  <c r="G21" i="1" s="1"/>
  <c r="H21" i="1" s="1"/>
  <c r="Q21" i="1" s="1"/>
  <c r="U23" i="1"/>
  <c r="D23" i="1" s="1"/>
  <c r="U22" i="1"/>
  <c r="D22" i="1" s="1"/>
  <c r="F25" i="1"/>
  <c r="G25" i="1" s="1"/>
  <c r="H25" i="1" s="1"/>
  <c r="Q25" i="1" s="1"/>
  <c r="U21" i="1"/>
  <c r="D21" i="1" s="1"/>
  <c r="U17" i="1"/>
  <c r="D17" i="1" s="1"/>
  <c r="U16" i="1"/>
  <c r="D16" i="1" s="1"/>
  <c r="F19" i="1"/>
  <c r="G19" i="1" s="1"/>
  <c r="H19" i="1" s="1"/>
  <c r="Q19" i="1" s="1"/>
  <c r="U15" i="1"/>
  <c r="D15" i="1" s="1"/>
  <c r="F18" i="1"/>
  <c r="G18" i="1" s="1"/>
  <c r="H18" i="1" s="1"/>
  <c r="Q18" i="1" s="1"/>
  <c r="U18" i="1"/>
  <c r="D18" i="1" s="1"/>
  <c r="U14" i="1"/>
  <c r="D14" i="1" s="1"/>
  <c r="F17" i="1"/>
  <c r="G17" i="1" s="1"/>
  <c r="H17" i="1" s="1"/>
  <c r="Q17" i="1" s="1"/>
  <c r="F16" i="1"/>
  <c r="G16" i="1" s="1"/>
  <c r="H16" i="1" s="1"/>
  <c r="Q16" i="1" s="1"/>
  <c r="F15" i="1"/>
  <c r="G15" i="1" s="1"/>
  <c r="H15" i="1" s="1"/>
  <c r="Q15" i="1" s="1"/>
  <c r="F14" i="1"/>
  <c r="G14" i="1" s="1"/>
  <c r="H14" i="1" s="1"/>
  <c r="Q14" i="1" s="1"/>
  <c r="U12" i="8"/>
  <c r="D12" i="8" s="1"/>
  <c r="U11" i="8"/>
  <c r="D11" i="8" s="1"/>
  <c r="F13" i="8"/>
  <c r="G13" i="8" s="1"/>
  <c r="H13" i="8" s="1"/>
  <c r="Q13" i="8" s="1"/>
  <c r="U9" i="8"/>
  <c r="D9" i="8" s="1"/>
  <c r="F12" i="8"/>
  <c r="G12" i="8" s="1"/>
  <c r="H12" i="8" s="1"/>
  <c r="Q12" i="8" s="1"/>
  <c r="U10" i="8"/>
  <c r="D10" i="8" s="1"/>
  <c r="U8" i="8"/>
  <c r="D8" i="8" s="1"/>
  <c r="F11" i="8"/>
  <c r="G11" i="8" s="1"/>
  <c r="H11" i="8" s="1"/>
  <c r="Q11" i="8" s="1"/>
  <c r="F10" i="8"/>
  <c r="G10" i="8" s="1"/>
  <c r="H10" i="8" s="1"/>
  <c r="Q10" i="8" s="1"/>
  <c r="F9" i="8"/>
  <c r="G9" i="8" s="1"/>
  <c r="H9" i="8" s="1"/>
  <c r="Q9" i="8" s="1"/>
  <c r="H8" i="8"/>
  <c r="Q8" i="8" s="1"/>
  <c r="F4" i="8"/>
  <c r="G4" i="8" s="1"/>
  <c r="H4" i="8" s="1"/>
  <c r="Q4" i="8" s="1"/>
  <c r="U4" i="8"/>
  <c r="D4" i="8" s="1"/>
  <c r="F7" i="8"/>
  <c r="G7" i="8" s="1"/>
  <c r="H7" i="8" s="1"/>
  <c r="Q7" i="8" s="1"/>
  <c r="U3" i="8"/>
  <c r="D3" i="8" s="1"/>
  <c r="F6" i="8"/>
  <c r="G6" i="8" s="1"/>
  <c r="H6" i="8" s="1"/>
  <c r="Q6" i="8" s="1"/>
  <c r="U2" i="8"/>
  <c r="D2" i="8" s="1"/>
  <c r="F5" i="8"/>
  <c r="G5" i="8" s="1"/>
  <c r="H5" i="8" s="1"/>
  <c r="Q5" i="8" s="1"/>
  <c r="F3" i="8"/>
  <c r="G3" i="8" s="1"/>
  <c r="H3" i="8" s="1"/>
  <c r="Q3" i="8" s="1"/>
  <c r="U7" i="8"/>
  <c r="D7" i="8" s="1"/>
  <c r="U6" i="8"/>
  <c r="D6" i="8" s="1"/>
  <c r="F2" i="8"/>
  <c r="G2" i="8" s="1"/>
  <c r="H2" i="8" s="1"/>
  <c r="Q2" i="8" s="1"/>
  <c r="F9" i="1"/>
  <c r="G9" i="1" s="1"/>
  <c r="H9" i="1" s="1"/>
  <c r="Q9" i="1" s="1"/>
  <c r="F8" i="1"/>
  <c r="G8" i="1" s="1"/>
  <c r="H8" i="1" s="1"/>
  <c r="Q8" i="1" s="1"/>
  <c r="G10" i="1"/>
  <c r="H10" i="1" s="1"/>
  <c r="Q10" i="1" s="1"/>
  <c r="U12" i="1"/>
  <c r="D12" i="1" s="1"/>
  <c r="U13" i="1"/>
  <c r="D13" i="1" s="1"/>
  <c r="U11" i="1"/>
  <c r="D11" i="1" s="1"/>
  <c r="U10" i="1"/>
  <c r="D10" i="1" s="1"/>
  <c r="F13" i="1"/>
  <c r="G13" i="1" s="1"/>
  <c r="H13" i="1" s="1"/>
  <c r="Q13" i="1" s="1"/>
  <c r="U9" i="1"/>
  <c r="D9" i="1" s="1"/>
  <c r="F12" i="1"/>
  <c r="G12" i="1" s="1"/>
  <c r="H12" i="1" s="1"/>
  <c r="Q12" i="1" s="1"/>
  <c r="U8" i="1"/>
  <c r="D8" i="1" s="1"/>
  <c r="F11" i="1"/>
  <c r="G11" i="1" s="1"/>
  <c r="H11" i="1" s="1"/>
  <c r="Q11" i="1" s="1"/>
  <c r="M4" i="1"/>
  <c r="M2" i="1"/>
  <c r="M3" i="1"/>
  <c r="M5" i="1"/>
  <c r="M6" i="1"/>
  <c r="M7" i="1"/>
  <c r="U3" i="1"/>
  <c r="D3" i="1" s="1"/>
  <c r="Y6" i="9" l="1"/>
  <c r="AI6" i="9" s="1"/>
  <c r="Y8" i="9"/>
  <c r="AI8" i="9" s="1"/>
  <c r="Y7" i="9"/>
  <c r="AI7" i="9" s="1"/>
  <c r="Y9" i="9"/>
  <c r="AI9" i="9" s="1"/>
  <c r="Y5" i="9"/>
  <c r="AI5" i="9" s="1"/>
  <c r="Y3" i="9"/>
  <c r="AI3" i="9" s="1"/>
  <c r="Y4" i="9"/>
  <c r="AI4" i="9" s="1"/>
  <c r="H113" i="8"/>
  <c r="Q113" i="8" s="1"/>
  <c r="G110" i="8"/>
  <c r="H110" i="8" s="1"/>
  <c r="Q110" i="8" s="1"/>
  <c r="H36" i="8"/>
  <c r="Q36" i="8" s="1"/>
  <c r="F6" i="1"/>
  <c r="G6" i="1" s="1"/>
  <c r="H6" i="1" s="1"/>
  <c r="Q6" i="1" s="1"/>
  <c r="U2" i="1"/>
  <c r="D2" i="1" s="1"/>
  <c r="F3" i="1"/>
  <c r="G3" i="1" s="1"/>
  <c r="H3" i="1" s="1"/>
  <c r="Q3" i="1" s="1"/>
  <c r="F4" i="1"/>
  <c r="G4" i="1" s="1"/>
  <c r="H4" i="1" s="1"/>
  <c r="Q4" i="1" s="1"/>
  <c r="F5" i="1"/>
  <c r="G5" i="1" s="1"/>
  <c r="H5" i="1" s="1"/>
  <c r="Q5" i="1" s="1"/>
  <c r="F7" i="1"/>
  <c r="G7" i="1" s="1"/>
  <c r="H7" i="1" s="1"/>
  <c r="Q7" i="1" s="1"/>
  <c r="F2" i="1"/>
  <c r="G2" i="1" s="1"/>
  <c r="H2" i="1" s="1"/>
  <c r="Q2" i="1" s="1"/>
  <c r="U5" i="1"/>
  <c r="D5" i="1" s="1"/>
  <c r="U7" i="1"/>
  <c r="D7" i="1" s="1"/>
  <c r="U6" i="1"/>
  <c r="D6" i="1" s="1"/>
  <c r="AJ4" i="9" l="1"/>
  <c r="AT4" i="9" s="1"/>
  <c r="AJ3" i="9"/>
  <c r="AT3" i="9" s="1"/>
  <c r="AJ9" i="9"/>
  <c r="AT9" i="9" s="1"/>
  <c r="AJ8" i="9"/>
  <c r="AT8" i="9" s="1"/>
  <c r="AJ5" i="9"/>
  <c r="AT5" i="9" s="1"/>
  <c r="AJ6" i="9"/>
  <c r="AT6" i="9" s="1"/>
  <c r="AJ7" i="9"/>
  <c r="AT7" i="9" s="1"/>
  <c r="U4" i="1"/>
  <c r="D4" i="1" s="1"/>
  <c r="AU4" i="9" l="1"/>
  <c r="BE4" i="9" s="1"/>
  <c r="AU9" i="9"/>
  <c r="BE9" i="9" s="1"/>
  <c r="AU5" i="9"/>
  <c r="BE5" i="9" s="1"/>
  <c r="AU3" i="9"/>
  <c r="BE3" i="9" s="1"/>
  <c r="AU8" i="9"/>
  <c r="BE8" i="9" s="1"/>
  <c r="AU6" i="9"/>
  <c r="BE6" i="9" s="1"/>
  <c r="AU7" i="9"/>
  <c r="BE7" i="9" s="1"/>
  <c r="BF6" i="9" l="1"/>
  <c r="BP6" i="9" s="1"/>
  <c r="BQ6" i="9" s="1"/>
  <c r="BF4" i="9"/>
  <c r="BP4" i="9" s="1"/>
  <c r="BQ4" i="9" s="1"/>
  <c r="BF3" i="9"/>
  <c r="BP3" i="9" s="1"/>
  <c r="BQ3" i="9" s="1"/>
  <c r="BF9" i="9"/>
  <c r="BP9" i="9" s="1"/>
  <c r="BQ9" i="9" s="1"/>
  <c r="BF7" i="9"/>
  <c r="BP7" i="9" s="1"/>
  <c r="BQ7" i="9" s="1"/>
  <c r="BF5" i="9"/>
  <c r="BP5" i="9" s="1"/>
  <c r="BQ5" i="9" s="1"/>
  <c r="BF8" i="9"/>
  <c r="BP8" i="9" s="1"/>
  <c r="BQ8" i="9" s="1"/>
</calcChain>
</file>

<file path=xl/sharedStrings.xml><?xml version="1.0" encoding="utf-8"?>
<sst xmlns="http://schemas.openxmlformats.org/spreadsheetml/2006/main" count="1627" uniqueCount="163">
  <si>
    <t>S/N</t>
  </si>
  <si>
    <t>Rated Tonnage</t>
  </si>
  <si>
    <t>Flowrate 
(l/s)</t>
  </si>
  <si>
    <t>Head
(m, calculation)</t>
  </si>
  <si>
    <t>Head
 (m, datasheet)</t>
  </si>
  <si>
    <t>Pump Model</t>
  </si>
  <si>
    <t>Motor Size (kW)</t>
  </si>
  <si>
    <t>Motor Eff</t>
  </si>
  <si>
    <t>VSD 
Eff</t>
  </si>
  <si>
    <t>Pump Eff</t>
  </si>
  <si>
    <t>NPSHR (m)</t>
  </si>
  <si>
    <t>Pump Power Limitation
(kW/m3/s)</t>
  </si>
  <si>
    <t>SS553
Power Limitation
(kW/m3/s)</t>
  </si>
  <si>
    <t>Price</t>
  </si>
  <si>
    <t>GIGA-I</t>
  </si>
  <si>
    <t>GIGA-B</t>
  </si>
  <si>
    <t>GIGA-N</t>
  </si>
  <si>
    <t>VSD</t>
  </si>
  <si>
    <t>SCP</t>
  </si>
  <si>
    <t>Motor</t>
  </si>
  <si>
    <t>Pump Power limitation  = Motor Input / Flowrate [m3/s]</t>
  </si>
  <si>
    <t>Rated Tonnage =( (Flowrate / 1000)  * Density * Change in Temp * Specific Heat) / 3.517</t>
  </si>
  <si>
    <t>Density</t>
  </si>
  <si>
    <t>△T</t>
  </si>
  <si>
    <t>Specific Heat</t>
  </si>
  <si>
    <t>RT</t>
  </si>
  <si>
    <t>kW</t>
  </si>
  <si>
    <t>Pump</t>
  </si>
  <si>
    <t>g</t>
  </si>
  <si>
    <t>Motor Input 
(Calculation)</t>
  </si>
  <si>
    <t>GIGA-IC</t>
  </si>
  <si>
    <t>Rated Power
(kW, P2)</t>
  </si>
  <si>
    <t>SCP-V</t>
  </si>
  <si>
    <t>Kw</t>
  </si>
  <si>
    <t>2P</t>
  </si>
  <si>
    <t>4P</t>
  </si>
  <si>
    <t>IE3</t>
  </si>
  <si>
    <t>Poles</t>
  </si>
  <si>
    <t>Rated Tonnage = Amount if heat needed to melt 1 ton of ice in 24 hrs</t>
  </si>
  <si>
    <r>
      <t xml:space="preserve">Motor 
Input 
(kW, P1) 
</t>
    </r>
    <r>
      <rPr>
        <b/>
        <sz val="11"/>
        <color rgb="FFFF0000"/>
        <rFont val="Aptos Narrow"/>
        <family val="2"/>
        <scheme val="minor"/>
      </rPr>
      <t>(Pump + Motor)</t>
    </r>
  </si>
  <si>
    <r>
      <t xml:space="preserve">Overall Power Input
</t>
    </r>
    <r>
      <rPr>
        <b/>
        <sz val="11"/>
        <color rgb="FFFF0000"/>
        <rFont val="Aptos Narrow"/>
        <family val="2"/>
        <scheme val="minor"/>
      </rPr>
      <t>(Pump + Motor + VSD)</t>
    </r>
  </si>
  <si>
    <t>Atmos GIGA-B 100/250-15/4-L1</t>
  </si>
  <si>
    <t>Atmos GIGA-N 100/250-15/4-L1</t>
  </si>
  <si>
    <t>Atmos GIGA-B 100/250-15/4-L1-S</t>
  </si>
  <si>
    <t>Atmos GIGA-I 125/250-15/4-L1 EN</t>
  </si>
  <si>
    <t>Atmos GIGA-IC 125/250-15/4-L1-GB3</t>
  </si>
  <si>
    <t>Atmos GIGA-I 150/275-18.5/4-L1 EN</t>
  </si>
  <si>
    <t>Atmos GIGA-N 100/315-18.5/4-L1</t>
  </si>
  <si>
    <t>Atmos GIGA-B 100/295-18.5/4-L1</t>
  </si>
  <si>
    <t>Atmos GIGA-IC 150/250-18.5/4-L1-GB3</t>
  </si>
  <si>
    <t>Atmos GIGA-B 125/240-18.5/4-L1</t>
  </si>
  <si>
    <t>Atmos GIGA-IC 150/315-18.5/4-L1-GB3</t>
  </si>
  <si>
    <t>Atmos GIGA-N 125/315-18.5/4-L1</t>
  </si>
  <si>
    <t>Atmos GIGA-N 125/315-22/4-L1</t>
  </si>
  <si>
    <t>Atmos GIGA-I 150/250-22/4-L1 EN</t>
  </si>
  <si>
    <t>Atmos GIGA-N 100/160-22/2-L1</t>
  </si>
  <si>
    <t>Atmos GIGA-B 150/285-30/4-L1</t>
  </si>
  <si>
    <t>Atmos GIGA-IC 200/315-30/4-L1-GB3</t>
  </si>
  <si>
    <t>Atmos GIGA-IC 150/315-30/4-L1-GB3</t>
  </si>
  <si>
    <t>Atmos GIGA-B 125/285-22/4-L1</t>
  </si>
  <si>
    <t>Atmos GIGA-IC 150/250-22/4-L1-GB3</t>
  </si>
  <si>
    <t>Atmos GIGA-I 200/285-30/4-L1 EN</t>
  </si>
  <si>
    <t>Atmos GIGA-IC 200/315-37/4-L1-GB3</t>
  </si>
  <si>
    <t>Atmos GIGA-B 150/295-37/4-L1</t>
  </si>
  <si>
    <t>Atmos GIGA-B 150/305-45/4-L1</t>
  </si>
  <si>
    <t>Atmos GIGA-IC 200/315-45/4-L1-GB3</t>
  </si>
  <si>
    <t>Atmos GIGA-N 150/315-30/4-L1</t>
  </si>
  <si>
    <t>Atmos GIGA-I 150/295-30/4-L1 EN</t>
  </si>
  <si>
    <t>Atmos GIGA-N 150/315-37/4-L1</t>
  </si>
  <si>
    <t>Atmos GIGA-I 200/295-37/4-P6-L1 EN</t>
  </si>
  <si>
    <t>Atmos GIGA-N 150/315-45/4-L1</t>
  </si>
  <si>
    <t>Atmos GIGA-I 200/305-45/4-P6-L1 EN</t>
  </si>
  <si>
    <t>Atmos GIGA-I 150/240-18.5/4-L1 EN</t>
  </si>
  <si>
    <t>Atmos GIGA-N 125/250-15/4-L1</t>
  </si>
  <si>
    <t>Atmos GIGA-N 125/250-18.5/4-L1</t>
  </si>
  <si>
    <t>Atmos GIGA-N 125/250-22/4-L1</t>
  </si>
  <si>
    <t>Atmos GIGA-N 200/400-45/4W-L1-GB3</t>
  </si>
  <si>
    <t>Atmos GIGA-B 100/240-11/4-L1</t>
  </si>
  <si>
    <t>Atmos GIGA-IC 125/250-11/4-L1-GB3</t>
  </si>
  <si>
    <t>Atmos GIGA-B 125/230-15/4-L1</t>
  </si>
  <si>
    <t>Atmos GIGA-N 100/250-11/4-L1</t>
  </si>
  <si>
    <t>Remarks</t>
  </si>
  <si>
    <t>NPSHR is too high at motor size 30kW, hence I offer 37kW.</t>
  </si>
  <si>
    <t>You want to see the datasheet of the downsized motor for those in red and put in the remarks for why I select those pumps.</t>
  </si>
  <si>
    <t>Atmos GIGA-IC 150/250-15/4-L1-GB3</t>
  </si>
  <si>
    <t>Atmos GIGA-B 125/250-22/4-L1</t>
  </si>
  <si>
    <t>Atmos GIGA-B 150/315-55/4-L1</t>
  </si>
  <si>
    <t>Atmos GIGA-IC 200/315-55/4-L1-GB3</t>
  </si>
  <si>
    <t>Atmos GIGA-N 200/400-55/4W-L1-GB3</t>
  </si>
  <si>
    <t>Atmos GIGA-I 125/240-11/4-L1 EN</t>
  </si>
  <si>
    <t>Atmos GIGA-I 200/305-45/4-P6 EN</t>
  </si>
  <si>
    <t>We can offer 37kW with 85.02% efficiency but the duty 
point will be close to the end of the application range.</t>
  </si>
  <si>
    <t>Only pump we can offer.</t>
  </si>
  <si>
    <t>Available pumps exceed 5m NPSHR.</t>
  </si>
  <si>
    <t>Both 45kW and 55kW exceed 5m NPSHR.</t>
  </si>
  <si>
    <t>Other pump's duty point is at the end of the application range.</t>
  </si>
  <si>
    <t>SCP-100-280-HA</t>
  </si>
  <si>
    <t>SCPV-100-280-HA</t>
  </si>
  <si>
    <t>Pump offer is running at maximum impeller size.</t>
  </si>
  <si>
    <t>SCP-125-290-HA</t>
  </si>
  <si>
    <t>Check Again.</t>
  </si>
  <si>
    <t>SCPV-125-290-HA</t>
  </si>
  <si>
    <t>SCP-125-330-HA</t>
  </si>
  <si>
    <t>SCPV-125-330-HA</t>
  </si>
  <si>
    <t>SCP-150-290-HA</t>
  </si>
  <si>
    <t>SCPV-150-290-HA</t>
  </si>
  <si>
    <t>SCP-200-310-HA</t>
  </si>
  <si>
    <t>SCPV-200-310-HA</t>
  </si>
  <si>
    <t>SCP-200-360-HB</t>
  </si>
  <si>
    <t>SCPV-200-360-HB</t>
  </si>
  <si>
    <t>Pump offer is running at the maximum impeller size.</t>
  </si>
  <si>
    <t>Pump offer is running at the 
maximum impeller size.</t>
  </si>
  <si>
    <t>SCP-200-320-HA</t>
  </si>
  <si>
    <t>SCPV-200-320-HA</t>
  </si>
  <si>
    <t>Atmos GIGA-I 150/285-22/4-L1 EN</t>
  </si>
  <si>
    <t>Atmos GIGA-IC 150/315-22/4-L1-GB3</t>
  </si>
  <si>
    <t>Flowrate
(l/s)</t>
  </si>
  <si>
    <t>Head
(m)</t>
  </si>
  <si>
    <t>Motor Size</t>
  </si>
  <si>
    <t>Motor
Eff</t>
  </si>
  <si>
    <t>VSD
Eff</t>
  </si>
  <si>
    <t>Pump 
Eff</t>
  </si>
  <si>
    <t>NPSHR
(m)</t>
  </si>
  <si>
    <t>SCPV</t>
  </si>
  <si>
    <t>Overall Power Input
(Pump + Motor + VSD)</t>
  </si>
  <si>
    <t>Motor Input 
(kW, P1) 
(Pump + Motor)</t>
  </si>
  <si>
    <t>Atmos GIGA-IC 125/250-7.5/4-L1-GB3</t>
  </si>
  <si>
    <t>Atmos GIGA-IC 125/315-18.5/4-L1-GB3</t>
  </si>
  <si>
    <t>Atmos GIGA-N 100/250-7.5/4-L1</t>
  </si>
  <si>
    <t>Atmos GIGA-N 80/315-18.5/4-L1</t>
  </si>
  <si>
    <t>Atmos GIGA-N 80/315-22/4-L1</t>
  </si>
  <si>
    <t>Atmos GIGA-N 100/400-30/4-L1</t>
  </si>
  <si>
    <t>Atmos GIGA-B 125/220-11/4-L1</t>
  </si>
  <si>
    <t>Atmos GIGA-B 100/305-22/4-L1</t>
  </si>
  <si>
    <t>Atmos GIGA-B 100/315-30/4-L1</t>
  </si>
  <si>
    <t>Atmos GIGA-B 100/380-30/4-L1</t>
  </si>
  <si>
    <t>Atmos GIGA-B 125/272-15/4-L1</t>
  </si>
  <si>
    <t>Atmos GIGA-B 100/305-22/4-L</t>
  </si>
  <si>
    <t>Atmos GIGA-B 125/295-30/4-L1</t>
  </si>
  <si>
    <t>Atmos GIGA-B 125/305-37/4-L1</t>
  </si>
  <si>
    <t>Atmos GIGA-B 125/370-45/4-L1</t>
  </si>
  <si>
    <t>Atmos GIGA-B 125/200-15/4-L1</t>
  </si>
  <si>
    <t>Atmos GIGA-B 150/275-22/4-L1</t>
  </si>
  <si>
    <t>Atmos GIGA-B 125/315-45/4-L1</t>
  </si>
  <si>
    <t>Atmos GIGA-B 125/380-55/4-L1</t>
  </si>
  <si>
    <t>Atmos GIGA-B 150/230-18.5/4-L1</t>
  </si>
  <si>
    <t>Atmos GIGA-B 150/370-55/4-L1</t>
  </si>
  <si>
    <t>Atmos GIGA-B 125/390-75/4-L1</t>
  </si>
  <si>
    <t>Atmos GIGA-B 150/380-75/4-L1</t>
  </si>
  <si>
    <t>Atmos GIGA-B 150/240-22/4-L1</t>
  </si>
  <si>
    <t>Atmos GIGA-B 150/250-30/4-L1</t>
  </si>
  <si>
    <t>Atmos GIGA-B 100/230-7.5/4-L1</t>
  </si>
  <si>
    <t>Atmos GIGA-B 80/305-18.5/4-L1</t>
  </si>
  <si>
    <t>No pumps available.</t>
  </si>
  <si>
    <t>Only pump available.</t>
  </si>
  <si>
    <t>Atmos GIGA-IC 200/400-75/4-L1-GB3</t>
  </si>
  <si>
    <t>Other pump's duty point is at 
the end of the pump curve.</t>
  </si>
  <si>
    <t>Other pump is 74.90% efficiency 
and exceeds NPSHR 5m.</t>
  </si>
  <si>
    <t>Atmos GIGA-IC 200/250-30/4-L1-GB3</t>
  </si>
  <si>
    <t>Other pump's duty point is out of the pump curve and exceeds NPSHR 5m.</t>
  </si>
  <si>
    <t>Other pumps's duty point is at 
the end of the pump curve.</t>
  </si>
  <si>
    <t>Only pump available and the duty point 
is 12% near the end of the pump curve.</t>
  </si>
  <si>
    <t>Duty point is around 16% near 
the end of the application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</si>
</sst>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1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9" fontId="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0" fontId="0" fillId="5" borderId="1" xfId="1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1" applyNumberFormat="1" applyFont="1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10" fontId="0" fillId="6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1" applyNumberFormat="1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6" borderId="1" xfId="1" applyNumberFormat="1" applyFont="1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 wrapText="1"/>
    </xf>
    <xf numFmtId="10" fontId="7" fillId="0" borderId="4" xfId="1" applyNumberFormat="1" applyFont="1" applyFill="1" applyBorder="1" applyAlignment="1">
      <alignment horizontal="center" vertical="center" wrapText="1"/>
    </xf>
    <xf numFmtId="0" fontId="5" fillId="0" borderId="4" xfId="1" applyNumberFormat="1" applyFont="1" applyFill="1" applyBorder="1" applyAlignment="1">
      <alignment horizontal="center" vertical="center" wrapText="1"/>
    </xf>
    <xf numFmtId="10" fontId="5" fillId="0" borderId="4" xfId="1" applyNumberFormat="1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2" fontId="0" fillId="6" borderId="1" xfId="1" applyNumberFormat="1" applyFont="1" applyFill="1" applyBorder="1" applyAlignment="1">
      <alignment horizontal="center"/>
    </xf>
    <xf numFmtId="2" fontId="0" fillId="6" borderId="7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0" fontId="0" fillId="6" borderId="7" xfId="0" applyNumberFormat="1" applyFill="1" applyBorder="1" applyAlignment="1">
      <alignment horizontal="center"/>
    </xf>
    <xf numFmtId="10" fontId="0" fillId="5" borderId="7" xfId="0" applyNumberFormat="1" applyFill="1" applyBorder="1" applyAlignment="1">
      <alignment horizontal="center"/>
    </xf>
    <xf numFmtId="10" fontId="0" fillId="5" borderId="7" xfId="1" applyNumberFormat="1" applyFont="1" applyFill="1" applyBorder="1" applyAlignment="1">
      <alignment horizontal="center"/>
    </xf>
    <xf numFmtId="0" fontId="0" fillId="5" borderId="7" xfId="1" applyNumberFormat="1" applyFont="1" applyFill="1" applyBorder="1" applyAlignment="1">
      <alignment horizontal="center"/>
    </xf>
    <xf numFmtId="2" fontId="0" fillId="6" borderId="7" xfId="1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center" vertical="center"/>
    </xf>
    <xf numFmtId="2" fontId="0" fillId="5" borderId="9" xfId="0" applyNumberFormat="1" applyFill="1" applyBorder="1" applyAlignment="1">
      <alignment horizontal="center" vertical="center"/>
    </xf>
    <xf numFmtId="2" fontId="3" fillId="6" borderId="9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0" fontId="0" fillId="6" borderId="9" xfId="0" applyNumberFormat="1" applyFill="1" applyBorder="1" applyAlignment="1">
      <alignment horizontal="center"/>
    </xf>
    <xf numFmtId="10" fontId="0" fillId="5" borderId="9" xfId="0" applyNumberFormat="1" applyFill="1" applyBorder="1" applyAlignment="1">
      <alignment horizontal="center"/>
    </xf>
    <xf numFmtId="10" fontId="0" fillId="5" borderId="9" xfId="1" applyNumberFormat="1" applyFont="1" applyFill="1" applyBorder="1" applyAlignment="1">
      <alignment horizontal="center"/>
    </xf>
    <xf numFmtId="0" fontId="0" fillId="5" borderId="9" xfId="1" applyNumberFormat="1" applyFont="1" applyFill="1" applyBorder="1" applyAlignment="1">
      <alignment horizontal="center"/>
    </xf>
    <xf numFmtId="2" fontId="0" fillId="6" borderId="9" xfId="1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12" xfId="0" applyNumberFormat="1" applyFill="1" applyBorder="1" applyAlignment="1">
      <alignment horizontal="center"/>
    </xf>
    <xf numFmtId="2" fontId="0" fillId="6" borderId="14" xfId="0" applyNumberFormat="1" applyFill="1" applyBorder="1" applyAlignment="1">
      <alignment horizontal="center" vertical="center"/>
    </xf>
    <xf numFmtId="2" fontId="0" fillId="5" borderId="14" xfId="0" applyNumberFormat="1" applyFill="1" applyBorder="1" applyAlignment="1">
      <alignment horizontal="center" vertical="center"/>
    </xf>
    <xf numFmtId="2" fontId="3" fillId="6" borderId="14" xfId="0" applyNumberFormat="1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10" fontId="0" fillId="6" borderId="14" xfId="0" applyNumberFormat="1" applyFill="1" applyBorder="1" applyAlignment="1">
      <alignment horizontal="center"/>
    </xf>
    <xf numFmtId="10" fontId="0" fillId="5" borderId="14" xfId="0" applyNumberFormat="1" applyFill="1" applyBorder="1" applyAlignment="1">
      <alignment horizontal="center"/>
    </xf>
    <xf numFmtId="10" fontId="0" fillId="5" borderId="14" xfId="1" applyNumberFormat="1" applyFont="1" applyFill="1" applyBorder="1" applyAlignment="1">
      <alignment horizontal="center"/>
    </xf>
    <xf numFmtId="0" fontId="0" fillId="5" borderId="14" xfId="1" applyNumberFormat="1" applyFont="1" applyFill="1" applyBorder="1" applyAlignment="1">
      <alignment horizontal="center"/>
    </xf>
    <xf numFmtId="0" fontId="0" fillId="6" borderId="14" xfId="1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165" fontId="0" fillId="5" borderId="9" xfId="1" applyNumberFormat="1" applyFont="1" applyFill="1" applyBorder="1" applyAlignment="1">
      <alignment horizontal="center"/>
    </xf>
    <xf numFmtId="165" fontId="0" fillId="5" borderId="1" xfId="1" applyNumberFormat="1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 vertical="center"/>
    </xf>
    <xf numFmtId="0" fontId="0" fillId="12" borderId="16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5" fillId="12" borderId="4" xfId="0" applyFont="1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wrapText="1"/>
    </xf>
    <xf numFmtId="0" fontId="0" fillId="12" borderId="5" xfId="0" applyFill="1" applyBorder="1" applyAlignment="1">
      <alignment horizontal="center" wrapText="1"/>
    </xf>
    <xf numFmtId="0" fontId="0" fillId="12" borderId="17" xfId="0" applyFill="1" applyBorder="1" applyAlignment="1">
      <alignment horizontal="center" wrapText="1"/>
    </xf>
    <xf numFmtId="0" fontId="0" fillId="12" borderId="7" xfId="0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9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10" fontId="0" fillId="5" borderId="1" xfId="1" applyNumberFormat="1" applyFont="1" applyFill="1" applyBorder="1" applyAlignment="1">
      <alignment horizontal="center" vertical="center"/>
    </xf>
    <xf numFmtId="0" fontId="1" fillId="5" borderId="1" xfId="1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5" borderId="1" xfId="1" applyNumberFormat="1" applyFont="1" applyFill="1" applyBorder="1" applyAlignment="1">
      <alignment horizontal="center" vertical="center"/>
    </xf>
    <xf numFmtId="0" fontId="0" fillId="6" borderId="1" xfId="1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10" fontId="0" fillId="6" borderId="9" xfId="0" applyNumberFormat="1" applyFill="1" applyBorder="1" applyAlignment="1">
      <alignment horizontal="center" vertical="center"/>
    </xf>
    <xf numFmtId="10" fontId="0" fillId="5" borderId="9" xfId="0" applyNumberFormat="1" applyFill="1" applyBorder="1" applyAlignment="1">
      <alignment horizontal="center" vertical="center"/>
    </xf>
    <xf numFmtId="10" fontId="0" fillId="5" borderId="9" xfId="1" applyNumberFormat="1" applyFont="1" applyFill="1" applyBorder="1" applyAlignment="1">
      <alignment horizontal="center" vertical="center"/>
    </xf>
    <xf numFmtId="0" fontId="0" fillId="5" borderId="9" xfId="1" applyNumberFormat="1" applyFont="1" applyFill="1" applyBorder="1" applyAlignment="1">
      <alignment horizontal="center" vertical="center"/>
    </xf>
    <xf numFmtId="2" fontId="0" fillId="6" borderId="9" xfId="1" applyNumberFormat="1" applyFont="1" applyFill="1" applyBorder="1" applyAlignment="1">
      <alignment horizontal="center" vertical="center"/>
    </xf>
    <xf numFmtId="2" fontId="1" fillId="6" borderId="9" xfId="1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 wrapText="1"/>
    </xf>
    <xf numFmtId="165" fontId="0" fillId="5" borderId="9" xfId="1" applyNumberFormat="1" applyFont="1" applyFill="1" applyBorder="1" applyAlignment="1">
      <alignment horizontal="center" vertical="center"/>
    </xf>
    <xf numFmtId="2" fontId="0" fillId="6" borderId="1" xfId="1" applyNumberFormat="1" applyFont="1" applyFill="1" applyBorder="1" applyAlignment="1">
      <alignment horizontal="center" vertical="center"/>
    </xf>
    <xf numFmtId="165" fontId="0" fillId="5" borderId="14" xfId="1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2" fontId="0" fillId="6" borderId="14" xfId="1" applyNumberFormat="1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10" fontId="0" fillId="6" borderId="14" xfId="0" applyNumberFormat="1" applyFill="1" applyBorder="1" applyAlignment="1">
      <alignment horizontal="center" vertical="center"/>
    </xf>
    <xf numFmtId="10" fontId="0" fillId="5" borderId="14" xfId="0" applyNumberFormat="1" applyFill="1" applyBorder="1" applyAlignment="1">
      <alignment horizontal="center" vertical="center"/>
    </xf>
    <xf numFmtId="10" fontId="0" fillId="5" borderId="14" xfId="1" applyNumberFormat="1" applyFont="1" applyFill="1" applyBorder="1" applyAlignment="1">
      <alignment horizontal="center" vertical="center"/>
    </xf>
    <xf numFmtId="165" fontId="0" fillId="5" borderId="14" xfId="1" applyNumberFormat="1" applyFont="1" applyFill="1" applyBorder="1" applyAlignment="1">
      <alignment horizontal="center" vertical="center"/>
    </xf>
    <xf numFmtId="2" fontId="0" fillId="6" borderId="14" xfId="1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0" fillId="6" borderId="14" xfId="1" applyNumberFormat="1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0" fontId="0" fillId="12" borderId="17" xfId="0" applyFill="1" applyBorder="1" applyAlignment="1">
      <alignment horizontal="center" vertical="center" wrapText="1"/>
    </xf>
    <xf numFmtId="2" fontId="0" fillId="3" borderId="15" xfId="0" applyNumberFormat="1" applyFill="1" applyBorder="1" applyAlignment="1">
      <alignment horizontal="center" vertical="center"/>
    </xf>
    <xf numFmtId="0" fontId="2" fillId="6" borderId="1" xfId="1" applyNumberFormat="1" applyFont="1" applyFill="1" applyBorder="1" applyAlignment="1">
      <alignment horizontal="center"/>
    </xf>
    <xf numFmtId="2" fontId="2" fillId="6" borderId="9" xfId="1" applyNumberFormat="1" applyFont="1" applyFill="1" applyBorder="1" applyAlignment="1">
      <alignment horizontal="center"/>
    </xf>
    <xf numFmtId="0" fontId="0" fillId="9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0" fillId="8" borderId="7" xfId="0" applyFill="1" applyBorder="1" applyAlignment="1">
      <alignment horizontal="center" wrapText="1"/>
    </xf>
    <xf numFmtId="2" fontId="0" fillId="5" borderId="20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0" fontId="0" fillId="9" borderId="1" xfId="0" applyNumberForma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 wrapText="1"/>
    </xf>
    <xf numFmtId="10" fontId="0" fillId="10" borderId="1" xfId="0" applyNumberFormat="1" applyFill="1" applyBorder="1" applyAlignment="1">
      <alignment horizontal="center"/>
    </xf>
    <xf numFmtId="165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10" fontId="0" fillId="11" borderId="1" xfId="0" applyNumberFormat="1" applyFill="1" applyBorder="1" applyAlignment="1">
      <alignment horizontal="center"/>
    </xf>
    <xf numFmtId="165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10" fontId="0" fillId="7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10" fontId="0" fillId="8" borderId="1" xfId="0" applyNumberFormat="1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wrapText="1"/>
    </xf>
    <xf numFmtId="2" fontId="0" fillId="5" borderId="2" xfId="0" applyNumberFormat="1" applyFill="1" applyBorder="1" applyAlignment="1">
      <alignment horizontal="center" vertical="center"/>
    </xf>
    <xf numFmtId="2" fontId="0" fillId="5" borderId="21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0" fontId="0" fillId="2" borderId="14" xfId="0" applyNumberFormat="1" applyFill="1" applyBorder="1" applyAlignment="1">
      <alignment horizontal="center"/>
    </xf>
    <xf numFmtId="165" fontId="0" fillId="2" borderId="14" xfId="0" applyNumberForma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0" fontId="0" fillId="2" borderId="9" xfId="0" applyNumberFormat="1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10" fontId="0" fillId="9" borderId="9" xfId="0" applyNumberFormat="1" applyFill="1" applyBorder="1" applyAlignment="1">
      <alignment horizontal="center"/>
    </xf>
    <xf numFmtId="165" fontId="0" fillId="9" borderId="9" xfId="0" applyNumberFormat="1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10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10" fontId="0" fillId="11" borderId="9" xfId="0" applyNumberFormat="1" applyFill="1" applyBorder="1" applyAlignment="1">
      <alignment horizontal="center"/>
    </xf>
    <xf numFmtId="165" fontId="0" fillId="11" borderId="9" xfId="0" applyNumberForma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10" fontId="0" fillId="7" borderId="9" xfId="0" applyNumberFormat="1" applyFill="1" applyBorder="1" applyAlignment="1">
      <alignment horizontal="center"/>
    </xf>
    <xf numFmtId="165" fontId="0" fillId="7" borderId="9" xfId="0" applyNumberForma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0" fontId="0" fillId="8" borderId="9" xfId="0" applyNumberFormat="1" applyFill="1" applyBorder="1" applyAlignment="1">
      <alignment horizontal="center"/>
    </xf>
    <xf numFmtId="165" fontId="0" fillId="8" borderId="9" xfId="0" applyNumberForma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10" fontId="0" fillId="9" borderId="14" xfId="0" applyNumberFormat="1" applyFill="1" applyBorder="1" applyAlignment="1">
      <alignment horizontal="center"/>
    </xf>
    <xf numFmtId="165" fontId="0" fillId="9" borderId="14" xfId="0" applyNumberFormat="1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10" fontId="0" fillId="10" borderId="14" xfId="0" applyNumberFormat="1" applyFill="1" applyBorder="1" applyAlignment="1">
      <alignment horizontal="center"/>
    </xf>
    <xf numFmtId="165" fontId="0" fillId="10" borderId="14" xfId="0" applyNumberFormat="1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10" fontId="0" fillId="11" borderId="14" xfId="0" applyNumberFormat="1" applyFill="1" applyBorder="1" applyAlignment="1">
      <alignment horizontal="center"/>
    </xf>
    <xf numFmtId="165" fontId="0" fillId="11" borderId="14" xfId="0" applyNumberForma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10" fontId="0" fillId="7" borderId="14" xfId="0" applyNumberFormat="1" applyFill="1" applyBorder="1" applyAlignment="1">
      <alignment horizontal="center"/>
    </xf>
    <xf numFmtId="165" fontId="0" fillId="7" borderId="14" xfId="0" applyNumberFormat="1" applyFill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165" fontId="0" fillId="8" borderId="14" xfId="0" applyNumberFormat="1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2" fontId="0" fillId="2" borderId="9" xfId="0" applyNumberFormat="1" applyFill="1" applyBorder="1" applyAlignment="1">
      <alignment horizontal="center" wrapText="1"/>
    </xf>
    <xf numFmtId="2" fontId="0" fillId="2" borderId="1" xfId="0" applyNumberFormat="1" applyFill="1" applyBorder="1" applyAlignment="1">
      <alignment horizontal="center" wrapText="1"/>
    </xf>
    <xf numFmtId="2" fontId="0" fillId="9" borderId="1" xfId="0" applyNumberFormat="1" applyFill="1" applyBorder="1" applyAlignment="1">
      <alignment horizontal="center" wrapText="1"/>
    </xf>
    <xf numFmtId="2" fontId="0" fillId="10" borderId="1" xfId="0" applyNumberFormat="1" applyFill="1" applyBorder="1" applyAlignment="1">
      <alignment horizontal="center" wrapText="1"/>
    </xf>
    <xf numFmtId="2" fontId="0" fillId="11" borderId="1" xfId="0" applyNumberFormat="1" applyFill="1" applyBorder="1" applyAlignment="1">
      <alignment horizontal="center" wrapText="1"/>
    </xf>
    <xf numFmtId="2" fontId="0" fillId="7" borderId="1" xfId="0" applyNumberFormat="1" applyFill="1" applyBorder="1" applyAlignment="1">
      <alignment horizontal="center" wrapText="1"/>
    </xf>
    <xf numFmtId="2" fontId="0" fillId="8" borderId="1" xfId="0" applyNumberFormat="1" applyFill="1" applyBorder="1" applyAlignment="1">
      <alignment horizontal="center" wrapText="1"/>
    </xf>
    <xf numFmtId="2" fontId="0" fillId="7" borderId="14" xfId="0" applyNumberFormat="1" applyFill="1" applyBorder="1" applyAlignment="1">
      <alignment horizontal="center" wrapText="1"/>
    </xf>
    <xf numFmtId="2" fontId="0" fillId="11" borderId="14" xfId="0" applyNumberFormat="1" applyFill="1" applyBorder="1" applyAlignment="1">
      <alignment horizontal="center" wrapText="1"/>
    </xf>
    <xf numFmtId="2" fontId="0" fillId="10" borderId="14" xfId="0" applyNumberFormat="1" applyFill="1" applyBorder="1" applyAlignment="1">
      <alignment horizontal="center" wrapText="1"/>
    </xf>
    <xf numFmtId="2" fontId="0" fillId="9" borderId="14" xfId="0" applyNumberFormat="1" applyFill="1" applyBorder="1" applyAlignment="1">
      <alignment horizontal="center" wrapText="1"/>
    </xf>
    <xf numFmtId="2" fontId="0" fillId="2" borderId="14" xfId="0" applyNumberFormat="1" applyFill="1" applyBorder="1" applyAlignment="1">
      <alignment horizont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10" fontId="0" fillId="2" borderId="23" xfId="0" applyNumberFormat="1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10" fontId="0" fillId="9" borderId="23" xfId="0" applyNumberFormat="1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0" fillId="10" borderId="23" xfId="0" applyFill="1" applyBorder="1" applyAlignment="1">
      <alignment horizontal="center" vertical="center" wrapText="1"/>
    </xf>
    <xf numFmtId="10" fontId="0" fillId="10" borderId="23" xfId="0" applyNumberFormat="1" applyFill="1" applyBorder="1" applyAlignment="1">
      <alignment horizontal="center" vertical="center" wrapText="1"/>
    </xf>
    <xf numFmtId="2" fontId="0" fillId="10" borderId="23" xfId="0" applyNumberFormat="1" applyFill="1" applyBorder="1" applyAlignment="1">
      <alignment horizontal="center" vertical="center" wrapText="1"/>
    </xf>
    <xf numFmtId="0" fontId="0" fillId="10" borderId="24" xfId="0" applyFill="1" applyBorder="1" applyAlignment="1">
      <alignment horizontal="center" vertical="center" wrapText="1"/>
    </xf>
    <xf numFmtId="0" fontId="0" fillId="11" borderId="22" xfId="0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 wrapText="1"/>
    </xf>
    <xf numFmtId="10" fontId="0" fillId="11" borderId="23" xfId="0" applyNumberFormat="1" applyFill="1" applyBorder="1" applyAlignment="1">
      <alignment horizontal="center" vertical="center" wrapText="1"/>
    </xf>
    <xf numFmtId="2" fontId="0" fillId="11" borderId="23" xfId="0" applyNumberFormat="1" applyFill="1" applyBorder="1" applyAlignment="1">
      <alignment horizontal="center" vertical="center" wrapText="1"/>
    </xf>
    <xf numFmtId="0" fontId="0" fillId="11" borderId="24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10" fontId="0" fillId="7" borderId="23" xfId="0" applyNumberFormat="1" applyFill="1" applyBorder="1" applyAlignment="1">
      <alignment horizontal="center" vertical="center" wrapText="1"/>
    </xf>
    <xf numFmtId="2" fontId="0" fillId="7" borderId="23" xfId="0" applyNumberFormat="1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10" fontId="0" fillId="8" borderId="23" xfId="0" applyNumberFormat="1" applyFill="1" applyBorder="1" applyAlignment="1">
      <alignment horizontal="center" vertical="center" wrapText="1"/>
    </xf>
    <xf numFmtId="2" fontId="0" fillId="8" borderId="23" xfId="0" applyNumberFormat="1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2" fontId="0" fillId="9" borderId="9" xfId="0" applyNumberFormat="1" applyFill="1" applyBorder="1" applyAlignment="1">
      <alignment horizontal="center" wrapText="1"/>
    </xf>
    <xf numFmtId="2" fontId="0" fillId="10" borderId="9" xfId="0" applyNumberFormat="1" applyFill="1" applyBorder="1" applyAlignment="1">
      <alignment horizontal="center" wrapText="1"/>
    </xf>
    <xf numFmtId="2" fontId="0" fillId="11" borderId="9" xfId="0" applyNumberFormat="1" applyFill="1" applyBorder="1" applyAlignment="1">
      <alignment horizontal="center" wrapText="1"/>
    </xf>
    <xf numFmtId="2" fontId="0" fillId="7" borderId="9" xfId="0" applyNumberFormat="1" applyFill="1" applyBorder="1" applyAlignment="1">
      <alignment horizontal="center" wrapText="1"/>
    </xf>
    <xf numFmtId="165" fontId="0" fillId="2" borderId="23" xfId="0" applyNumberFormat="1" applyFill="1" applyBorder="1" applyAlignment="1">
      <alignment horizontal="center" vertical="center" wrapText="1"/>
    </xf>
    <xf numFmtId="165" fontId="0" fillId="0" borderId="0" xfId="0" applyNumberFormat="1"/>
    <xf numFmtId="10" fontId="0" fillId="2" borderId="16" xfId="0" applyNumberFormat="1" applyFill="1" applyBorder="1" applyAlignment="1">
      <alignment horizontal="center"/>
    </xf>
    <xf numFmtId="10" fontId="0" fillId="2" borderId="5" xfId="0" applyNumberFormat="1" applyFill="1" applyBorder="1" applyAlignment="1">
      <alignment horizontal="center"/>
    </xf>
    <xf numFmtId="10" fontId="0" fillId="2" borderId="17" xfId="0" applyNumberFormat="1" applyFill="1" applyBorder="1" applyAlignment="1">
      <alignment horizontal="center"/>
    </xf>
    <xf numFmtId="0" fontId="0" fillId="2" borderId="26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27" xfId="0" applyFill="1" applyBorder="1" applyAlignment="1">
      <alignment horizontal="center" wrapText="1"/>
    </xf>
    <xf numFmtId="165" fontId="0" fillId="9" borderId="23" xfId="0" applyNumberFormat="1" applyFill="1" applyBorder="1" applyAlignment="1">
      <alignment horizontal="center" vertical="center" wrapText="1"/>
    </xf>
    <xf numFmtId="0" fontId="0" fillId="8" borderId="28" xfId="0" applyFill="1" applyBorder="1" applyAlignment="1">
      <alignment horizontal="center" wrapText="1"/>
    </xf>
    <xf numFmtId="0" fontId="0" fillId="8" borderId="28" xfId="0" applyFill="1" applyBorder="1" applyAlignment="1">
      <alignment horizontal="center"/>
    </xf>
    <xf numFmtId="2" fontId="0" fillId="8" borderId="28" xfId="0" applyNumberFormat="1" applyFill="1" applyBorder="1" applyAlignment="1">
      <alignment horizontal="center" wrapText="1"/>
    </xf>
    <xf numFmtId="0" fontId="0" fillId="8" borderId="29" xfId="0" applyFill="1" applyBorder="1" applyAlignment="1">
      <alignment horizontal="center"/>
    </xf>
    <xf numFmtId="2" fontId="0" fillId="8" borderId="29" xfId="0" applyNumberFormat="1" applyFill="1" applyBorder="1" applyAlignment="1">
      <alignment horizontal="center" wrapText="1"/>
    </xf>
    <xf numFmtId="0" fontId="0" fillId="7" borderId="28" xfId="0" applyFill="1" applyBorder="1" applyAlignment="1">
      <alignment horizontal="center" wrapText="1"/>
    </xf>
    <xf numFmtId="0" fontId="0" fillId="11" borderId="28" xfId="0" applyFill="1" applyBorder="1" applyAlignment="1">
      <alignment horizontal="center" wrapText="1"/>
    </xf>
    <xf numFmtId="0" fontId="0" fillId="10" borderId="28" xfId="0" applyFill="1" applyBorder="1" applyAlignment="1">
      <alignment horizontal="center" wrapText="1"/>
    </xf>
    <xf numFmtId="0" fontId="0" fillId="9" borderId="28" xfId="0" applyFill="1" applyBorder="1" applyAlignment="1">
      <alignment horizontal="center" wrapText="1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6" borderId="14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0" fillId="6" borderId="4" xfId="0" applyNumberFormat="1" applyFill="1" applyBorder="1" applyAlignment="1">
      <alignment horizontal="center" vertical="center"/>
    </xf>
    <xf numFmtId="164" fontId="0" fillId="6" borderId="18" xfId="0" applyNumberFormat="1" applyFill="1" applyBorder="1" applyAlignment="1">
      <alignment horizontal="center" vertical="center"/>
    </xf>
    <xf numFmtId="164" fontId="0" fillId="6" borderId="19" xfId="0" applyNumberFormat="1" applyFill="1" applyBorder="1" applyAlignment="1">
      <alignment horizontal="center" vertic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6" borderId="18" xfId="0" applyFill="1" applyBorder="1" applyAlignment="1">
      <alignment horizontal="center" wrapText="1"/>
    </xf>
    <xf numFmtId="0" fontId="0" fillId="5" borderId="25" xfId="0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9" borderId="11" xfId="0" applyFill="1" applyBorder="1" applyAlignment="1">
      <alignment horizontal="center" vertical="center"/>
    </xf>
    <xf numFmtId="10" fontId="0" fillId="9" borderId="1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2" fontId="0" fillId="9" borderId="1" xfId="0" applyNumberFormat="1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/>
    </xf>
    <xf numFmtId="10" fontId="0" fillId="11" borderId="1" xfId="0" applyNumberFormat="1" applyFill="1" applyBorder="1" applyAlignment="1">
      <alignment horizontal="center" vertical="center"/>
    </xf>
    <xf numFmtId="165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2" fontId="0" fillId="11" borderId="1" xfId="0" applyNumberFormat="1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10" fontId="0" fillId="11" borderId="9" xfId="0" applyNumberFormat="1" applyFill="1" applyBorder="1" applyAlignment="1">
      <alignment horizontal="center" vertical="center"/>
    </xf>
    <xf numFmtId="165" fontId="0" fillId="11" borderId="9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 wrapText="1"/>
    </xf>
    <xf numFmtId="2" fontId="0" fillId="11" borderId="9" xfId="0" applyNumberFormat="1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464457</xdr:colOff>
      <xdr:row>131</xdr:row>
      <xdr:rowOff>23585</xdr:rowOff>
    </xdr:from>
    <xdr:to>
      <xdr:col>44</xdr:col>
      <xdr:colOff>148595</xdr:colOff>
      <xdr:row>138</xdr:row>
      <xdr:rowOff>117118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7757F6-CC5F-73A9-491A-858335DFD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53743" y="3806371"/>
          <a:ext cx="3315612" cy="1368614"/>
        </a:xfrm>
        <a:prstGeom prst="rect">
          <a:avLst/>
        </a:prstGeom>
      </xdr:spPr>
    </xdr:pic>
    <xdr:clientData/>
  </xdr:twoCellAnchor>
  <xdr:twoCellAnchor editAs="oneCell">
    <xdr:from>
      <xdr:col>22</xdr:col>
      <xdr:colOff>100965</xdr:colOff>
      <xdr:row>121</xdr:row>
      <xdr:rowOff>0</xdr:rowOff>
    </xdr:from>
    <xdr:to>
      <xdr:col>33</xdr:col>
      <xdr:colOff>149726</xdr:colOff>
      <xdr:row>133</xdr:row>
      <xdr:rowOff>41447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2CB5B2-42CD-09C6-EA9B-9461F4E7C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07422" y="2002971"/>
          <a:ext cx="7135362" cy="22621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464457</xdr:colOff>
      <xdr:row>131</xdr:row>
      <xdr:rowOff>23585</xdr:rowOff>
    </xdr:from>
    <xdr:to>
      <xdr:col>44</xdr:col>
      <xdr:colOff>148594</xdr:colOff>
      <xdr:row>138</xdr:row>
      <xdr:rowOff>117117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13A1D4-96BD-4160-981F-A442A7CA6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86037" y="4960075"/>
          <a:ext cx="3343008" cy="1380044"/>
        </a:xfrm>
        <a:prstGeom prst="rect">
          <a:avLst/>
        </a:prstGeom>
      </xdr:spPr>
    </xdr:pic>
    <xdr:clientData/>
  </xdr:twoCellAnchor>
  <xdr:twoCellAnchor editAs="oneCell">
    <xdr:from>
      <xdr:col>22</xdr:col>
      <xdr:colOff>100965</xdr:colOff>
      <xdr:row>121</xdr:row>
      <xdr:rowOff>0</xdr:rowOff>
    </xdr:from>
    <xdr:to>
      <xdr:col>33</xdr:col>
      <xdr:colOff>149726</xdr:colOff>
      <xdr:row>133</xdr:row>
      <xdr:rowOff>41447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AAC55E-6DE7-43D1-9B3A-D30171809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91755" y="3092450"/>
          <a:ext cx="7132821" cy="2251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8BAC-81B3-4936-948C-2E0645D23A45}">
  <dimension ref="A1:AC127"/>
  <sheetViews>
    <sheetView zoomScale="60" zoomScaleNormal="60" workbookViewId="0">
      <pane ySplit="1" topLeftCell="A2" activePane="bottomLeft" state="frozen"/>
      <selection pane="bottomLeft" activeCell="M12" sqref="M12"/>
    </sheetView>
  </sheetViews>
  <sheetFormatPr defaultColWidth="8.88671875" defaultRowHeight="14.4" x14ac:dyDescent="0.3"/>
  <cols>
    <col min="1" max="2" width="8.88671875" style="1"/>
    <col min="3" max="3" width="10.33203125" style="10" customWidth="1"/>
    <col min="4" max="4" width="15.33203125" style="1" customWidth="1"/>
    <col min="5" max="5" width="14.33203125" style="1" customWidth="1"/>
    <col min="6" max="6" width="14.44140625" style="14" customWidth="1"/>
    <col min="7" max="7" width="22.44140625" style="14" customWidth="1"/>
    <col min="8" max="8" width="21.21875" style="14" customWidth="1"/>
    <col min="9" max="9" width="13.88671875" style="1" customWidth="1"/>
    <col min="10" max="10" width="41.6640625" style="1" customWidth="1"/>
    <col min="11" max="11" width="9.44140625" style="1" customWidth="1"/>
    <col min="12" max="12" width="10.6640625" style="1" customWidth="1"/>
    <col min="13" max="13" width="14.77734375" style="15" customWidth="1"/>
    <col min="14" max="14" width="10.6640625" style="15" customWidth="1"/>
    <col min="15" max="15" width="9.88671875" style="16" bestFit="1" customWidth="1"/>
    <col min="16" max="16" width="9.88671875" style="17" customWidth="1"/>
    <col min="17" max="17" width="12.44140625" style="16" customWidth="1"/>
    <col min="18" max="18" width="11.109375" style="1" customWidth="1"/>
    <col min="19" max="19" width="13.44140625" style="1" customWidth="1"/>
    <col min="20" max="20" width="32.44140625" style="87" customWidth="1"/>
    <col min="21" max="21" width="13.109375" style="1" customWidth="1"/>
    <col min="22" max="26" width="8.88671875" style="1"/>
    <col min="27" max="27" width="14.44140625" style="1" customWidth="1"/>
    <col min="28" max="16384" width="8.88671875" style="1"/>
  </cols>
  <sheetData>
    <row r="1" spans="1:29" s="13" customFormat="1" ht="69" customHeight="1" thickBot="1" x14ac:dyDescent="0.3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31</v>
      </c>
      <c r="G1" s="28" t="s">
        <v>39</v>
      </c>
      <c r="H1" s="28" t="s">
        <v>40</v>
      </c>
      <c r="I1" s="26" t="s">
        <v>5</v>
      </c>
      <c r="J1" s="29" t="s">
        <v>5</v>
      </c>
      <c r="K1" s="27" t="s">
        <v>6</v>
      </c>
      <c r="L1" s="27" t="s">
        <v>37</v>
      </c>
      <c r="M1" s="30" t="s">
        <v>7</v>
      </c>
      <c r="N1" s="30" t="s">
        <v>8</v>
      </c>
      <c r="O1" s="31" t="s">
        <v>9</v>
      </c>
      <c r="P1" s="32" t="s">
        <v>10</v>
      </c>
      <c r="Q1" s="33" t="s">
        <v>11</v>
      </c>
      <c r="R1" s="27" t="s">
        <v>12</v>
      </c>
      <c r="S1" s="26" t="s">
        <v>13</v>
      </c>
      <c r="T1" s="81" t="s">
        <v>81</v>
      </c>
      <c r="U1" s="27" t="s">
        <v>29</v>
      </c>
    </row>
    <row r="2" spans="1:29" x14ac:dyDescent="0.3">
      <c r="A2" s="298">
        <v>0</v>
      </c>
      <c r="B2" s="301"/>
      <c r="C2" s="304">
        <f xml:space="preserve"> ROUND((B2 * $AA$6 * 1000) / ($X$5*$AA$2*$AA$3),0)</f>
        <v>0</v>
      </c>
      <c r="D2" s="50" t="str">
        <f>IFERROR(ROUNDUP((U2*$X$3*1000*$X$4*$X$2)/((C2/10^3)*$X$5*$AA$4),2),"")</f>
        <v/>
      </c>
      <c r="E2" s="51"/>
      <c r="F2" s="52" t="e">
        <f>((($X$5*$AA$4*(C2*0.001)*E2)/1000)/O2)</f>
        <v>#DIV/0!</v>
      </c>
      <c r="G2" s="52" t="e">
        <f>F2/M2</f>
        <v>#DIV/0!</v>
      </c>
      <c r="H2" s="52" t="e">
        <f>G2/N2</f>
        <v>#DIV/0!</v>
      </c>
      <c r="I2" s="53" t="s">
        <v>14</v>
      </c>
      <c r="J2" s="53"/>
      <c r="K2" s="54"/>
      <c r="L2" s="54"/>
      <c r="M2" s="55" t="e">
        <f>INDEX('WEG Motor'!$B$3:$AZ$55,
       MATCH(K2,'WEG Motor'!$A$3:$A$55,0),
       MATCH(L2,'WEG Motor'!$B$2:$AZ$2,0))%</f>
        <v>#N/A</v>
      </c>
      <c r="N2" s="56">
        <v>0.92</v>
      </c>
      <c r="O2" s="57"/>
      <c r="P2" s="58"/>
      <c r="Q2" s="59" t="e">
        <f>ROUNDUP(H2/(C2/10^3),2)</f>
        <v>#DIV/0!</v>
      </c>
      <c r="R2" s="301">
        <v>349</v>
      </c>
      <c r="S2" s="60"/>
      <c r="T2" s="82"/>
      <c r="U2" s="61">
        <f>R2*(C2/10^3)</f>
        <v>0</v>
      </c>
      <c r="W2" s="1" t="s">
        <v>17</v>
      </c>
      <c r="X2" s="3">
        <v>0.92</v>
      </c>
      <c r="Z2" s="1" t="s">
        <v>23</v>
      </c>
      <c r="AA2" s="1">
        <v>7</v>
      </c>
      <c r="AC2" s="4" t="s">
        <v>38</v>
      </c>
    </row>
    <row r="3" spans="1:29" x14ac:dyDescent="0.3">
      <c r="A3" s="299"/>
      <c r="B3" s="302"/>
      <c r="C3" s="305"/>
      <c r="D3" s="18" t="str">
        <f>IFERROR(ROUNDUP((U3*$X$3*1000*$X$4*$X$2)/((C2/10^3)*$X$5*$AA$4),2),"")</f>
        <v/>
      </c>
      <c r="E3" s="19"/>
      <c r="F3" s="21" t="e">
        <f>((($X$5*$AA$4*(C2*0.001)*E3)/1000)/O3)</f>
        <v>#DIV/0!</v>
      </c>
      <c r="G3" s="21" t="e">
        <f t="shared" ref="G3:G7" si="0">F3/M3</f>
        <v>#DIV/0!</v>
      </c>
      <c r="H3" s="21" t="e">
        <f t="shared" ref="H3:H7" si="1">G3/N3</f>
        <v>#DIV/0!</v>
      </c>
      <c r="I3" s="23" t="s">
        <v>15</v>
      </c>
      <c r="J3" s="23"/>
      <c r="K3" s="7"/>
      <c r="L3" s="7"/>
      <c r="M3" s="11" t="e">
        <f>INDEX('WEG Motor'!$B$3:$AZ$55,
       MATCH(K3,'WEG Motor'!$A$3:$A$55,0),
       MATCH(L3,'WEG Motor'!$B$2:$AZ$2,0))%</f>
        <v>#N/A</v>
      </c>
      <c r="N3" s="9">
        <v>0.92</v>
      </c>
      <c r="O3" s="6"/>
      <c r="P3" s="8"/>
      <c r="Q3" s="20" t="e">
        <f>ROUNDUP(H3/(C2/10^3),2)</f>
        <v>#DIV/0!</v>
      </c>
      <c r="R3" s="302"/>
      <c r="S3" s="5"/>
      <c r="T3" s="83"/>
      <c r="U3" s="62">
        <f>R2*(C2/10^3)</f>
        <v>0</v>
      </c>
      <c r="W3" s="1" t="s">
        <v>19</v>
      </c>
      <c r="X3" s="3">
        <v>0.94</v>
      </c>
      <c r="Z3" s="1" t="s">
        <v>24</v>
      </c>
      <c r="AA3" s="1">
        <v>4.1859999999999999</v>
      </c>
    </row>
    <row r="4" spans="1:29" x14ac:dyDescent="0.3">
      <c r="A4" s="299"/>
      <c r="B4" s="302"/>
      <c r="C4" s="305"/>
      <c r="D4" s="18" t="str">
        <f>IFERROR(ROUNDUP((U4*$X$3*1000*$X$4*$X$2)/((C2/10^3)*$X$5*$AA$4),2),"")</f>
        <v/>
      </c>
      <c r="E4" s="19"/>
      <c r="F4" s="21" t="e">
        <f>((($X$5*$AA$4*(C2*0.001)*E4)/1000)/O4)</f>
        <v>#DIV/0!</v>
      </c>
      <c r="G4" s="21" t="e">
        <f t="shared" si="0"/>
        <v>#DIV/0!</v>
      </c>
      <c r="H4" s="21" t="e">
        <f t="shared" si="1"/>
        <v>#DIV/0!</v>
      </c>
      <c r="I4" s="24" t="s">
        <v>16</v>
      </c>
      <c r="J4" s="24"/>
      <c r="K4" s="7"/>
      <c r="L4" s="7"/>
      <c r="M4" s="11" t="e">
        <f>INDEX('WEG Motor'!$B$3:$AZ$55,
       MATCH(K4,'WEG Motor'!$A$3:$A$55,0),
       MATCH(L4,'WEG Motor'!$B$2:$AZ$2,0))%</f>
        <v>#N/A</v>
      </c>
      <c r="N4" s="9">
        <v>0.92</v>
      </c>
      <c r="O4" s="6"/>
      <c r="P4" s="8"/>
      <c r="Q4" s="20" t="e">
        <f>ROUNDUP(H4/(C2/10^3),2)</f>
        <v>#DIV/0!</v>
      </c>
      <c r="R4" s="302"/>
      <c r="S4" s="5"/>
      <c r="T4" s="83"/>
      <c r="U4" s="62">
        <f>R2*(C2/10^3)</f>
        <v>0</v>
      </c>
      <c r="V4" s="10"/>
      <c r="W4" s="1" t="s">
        <v>27</v>
      </c>
      <c r="X4" s="3">
        <v>0.8</v>
      </c>
      <c r="Z4" s="1" t="s">
        <v>28</v>
      </c>
      <c r="AA4" s="1">
        <v>9.81</v>
      </c>
      <c r="AC4" s="2" t="s">
        <v>20</v>
      </c>
    </row>
    <row r="5" spans="1:29" x14ac:dyDescent="0.3">
      <c r="A5" s="299"/>
      <c r="B5" s="302"/>
      <c r="C5" s="305"/>
      <c r="D5" s="18" t="str">
        <f>IFERROR(ROUNDUP((U5*$X$3*1000*$X$4*$X$2)/((C2/10^3)*$X$5*$AA$4),2),"")</f>
        <v/>
      </c>
      <c r="E5" s="19"/>
      <c r="F5" s="21" t="e">
        <f>((($X$5*$AA$4*(C2*0.001)*E5)/1000)/O5)</f>
        <v>#DIV/0!</v>
      </c>
      <c r="G5" s="21" t="e">
        <f t="shared" si="0"/>
        <v>#DIV/0!</v>
      </c>
      <c r="H5" s="21" t="e">
        <f t="shared" si="1"/>
        <v>#DIV/0!</v>
      </c>
      <c r="I5" s="25" t="s">
        <v>30</v>
      </c>
      <c r="J5" s="25"/>
      <c r="K5" s="7"/>
      <c r="L5" s="7"/>
      <c r="M5" s="11" t="e">
        <f>INDEX('WEG Motor'!$B$3:$AZ$55,
       MATCH(K5,'WEG Motor'!$A$3:$A$55,0),
       MATCH(L5,'WEG Motor'!$B$2:$AZ$2,0))%</f>
        <v>#N/A</v>
      </c>
      <c r="N5" s="9">
        <v>0.92</v>
      </c>
      <c r="O5" s="6"/>
      <c r="P5" s="8"/>
      <c r="Q5" s="20" t="e">
        <f>ROUNDUP(H5/(C2/10^3),2)</f>
        <v>#DIV/0!</v>
      </c>
      <c r="R5" s="302"/>
      <c r="S5" s="5"/>
      <c r="T5" s="83"/>
      <c r="U5" s="62">
        <f>R2*(C2/10^3)</f>
        <v>0</v>
      </c>
      <c r="V5" s="10"/>
      <c r="W5" s="1" t="s">
        <v>22</v>
      </c>
      <c r="X5" s="1">
        <v>999.78</v>
      </c>
      <c r="Z5" s="1" t="s">
        <v>25</v>
      </c>
      <c r="AA5" s="1" t="s">
        <v>26</v>
      </c>
      <c r="AC5" s="2"/>
    </row>
    <row r="6" spans="1:29" x14ac:dyDescent="0.3">
      <c r="A6" s="299"/>
      <c r="B6" s="302"/>
      <c r="C6" s="305"/>
      <c r="D6" s="18" t="str">
        <f>IFERROR(ROUNDUP((U6*$X$3*1000*$X$4*$X$2)/((C2/10^3)*$X$5*$AA$4),2),"")</f>
        <v/>
      </c>
      <c r="E6" s="19"/>
      <c r="F6" s="21" t="e">
        <f>((($X$5*$AA$4*(C2*0.001)*E6)/1000)/O6)</f>
        <v>#DIV/0!</v>
      </c>
      <c r="G6" s="21" t="e">
        <f t="shared" si="0"/>
        <v>#DIV/0!</v>
      </c>
      <c r="H6" s="21" t="e">
        <f t="shared" si="1"/>
        <v>#DIV/0!</v>
      </c>
      <c r="I6" s="12" t="s">
        <v>18</v>
      </c>
      <c r="J6" s="12"/>
      <c r="K6" s="7"/>
      <c r="L6" s="7"/>
      <c r="M6" s="11" t="e">
        <f>INDEX('WEG Motor'!$B$3:$AZ$55,
       MATCH(K6,'WEG Motor'!$A$3:$A$55,0),
       MATCH(L6,'WEG Motor'!$B$2:$AZ$2,0))%</f>
        <v>#N/A</v>
      </c>
      <c r="N6" s="9">
        <v>0.92</v>
      </c>
      <c r="O6" s="6"/>
      <c r="P6" s="8"/>
      <c r="Q6" s="20" t="e">
        <f>ROUNDUP(H6/(C2/10^3),2)</f>
        <v>#DIV/0!</v>
      </c>
      <c r="R6" s="302"/>
      <c r="S6" s="5"/>
      <c r="T6" s="83"/>
      <c r="U6" s="62">
        <f>R2*(C2/10^3)</f>
        <v>0</v>
      </c>
      <c r="V6" s="10"/>
      <c r="Z6" s="1">
        <v>1</v>
      </c>
      <c r="AA6" s="1">
        <v>3.5169999999999999</v>
      </c>
      <c r="AC6" s="2" t="s">
        <v>21</v>
      </c>
    </row>
    <row r="7" spans="1:29" ht="15" thickBot="1" x14ac:dyDescent="0.35">
      <c r="A7" s="300"/>
      <c r="B7" s="303"/>
      <c r="C7" s="306"/>
      <c r="D7" s="63" t="str">
        <f>IFERROR(ROUNDUP((U7*$X$3*1000*$X$4*$X$2)/((C2/10^3)*$X$5*$AA$4),2),"")</f>
        <v/>
      </c>
      <c r="E7" s="64"/>
      <c r="F7" s="65" t="e">
        <f>((($X$5*$AA$4*(C2*0.001)*E7)/1000)/O7)</f>
        <v>#DIV/0!</v>
      </c>
      <c r="G7" s="65" t="e">
        <f t="shared" si="0"/>
        <v>#DIV/0!</v>
      </c>
      <c r="H7" s="65" t="e">
        <f t="shared" si="1"/>
        <v>#DIV/0!</v>
      </c>
      <c r="I7" s="66" t="s">
        <v>32</v>
      </c>
      <c r="J7" s="66"/>
      <c r="K7" s="67"/>
      <c r="L7" s="67"/>
      <c r="M7" s="68" t="e">
        <f>INDEX('WEG Motor'!$B$3:$AZ$55,
       MATCH(K7,'WEG Motor'!$A$3:$A$55,0),
       MATCH(L7,'WEG Motor'!$B$2:$AZ$2,0))%</f>
        <v>#N/A</v>
      </c>
      <c r="N7" s="69">
        <v>0.92</v>
      </c>
      <c r="O7" s="70"/>
      <c r="P7" s="71"/>
      <c r="Q7" s="72" t="e">
        <f>ROUNDUP(H7/(C2/10^3),2)</f>
        <v>#DIV/0!</v>
      </c>
      <c r="R7" s="303"/>
      <c r="S7" s="73"/>
      <c r="T7" s="84"/>
      <c r="U7" s="74">
        <f>R2*(C2/10^3)</f>
        <v>0</v>
      </c>
    </row>
    <row r="8" spans="1:29" x14ac:dyDescent="0.3">
      <c r="A8" s="307">
        <v>1</v>
      </c>
      <c r="B8" s="307">
        <v>300</v>
      </c>
      <c r="C8" s="304">
        <f xml:space="preserve"> ROUND((B8 * $AA$6 * 1000) / ($X$5*$AA$2*$AA$3),0)</f>
        <v>36</v>
      </c>
      <c r="D8" s="38">
        <f>IFERROR(ROUNDUP((U8*$X$3*1000*$X$4*$X$2)/((C8/10^3)*$X$5*$AA$4),2),"")</f>
        <v>24.62</v>
      </c>
      <c r="E8" s="39">
        <v>24</v>
      </c>
      <c r="F8" s="40">
        <f>((($X$5*$AA$4*(C8*0.001)*E8)/1000)/O8)</f>
        <v>10.508401928571429</v>
      </c>
      <c r="G8" s="40">
        <f>F8/M8</f>
        <v>11.409774080967892</v>
      </c>
      <c r="H8" s="40">
        <f>G8/N8</f>
        <v>12.401928348878144</v>
      </c>
      <c r="I8" s="41" t="s">
        <v>14</v>
      </c>
      <c r="J8" s="41" t="s">
        <v>44</v>
      </c>
      <c r="K8" s="42">
        <v>15</v>
      </c>
      <c r="L8" s="42" t="s">
        <v>35</v>
      </c>
      <c r="M8" s="43">
        <f>INDEX('WEG Motor'!$B$3:$AZ$55,
       MATCH(K8,'WEG Motor'!$A$3:$A$55,0),
       MATCH(L8,'WEG Motor'!$B$2:$AZ$2,0))%</f>
        <v>0.92099999999999993</v>
      </c>
      <c r="N8" s="44">
        <v>0.92</v>
      </c>
      <c r="O8" s="45">
        <v>0.80640000000000001</v>
      </c>
      <c r="P8" s="46">
        <v>1.6919999999999999</v>
      </c>
      <c r="Q8" s="47">
        <f>ROUNDUP(H8/(C8/10^3),2)</f>
        <v>344.5</v>
      </c>
      <c r="R8" s="307">
        <v>349</v>
      </c>
      <c r="S8" s="48"/>
      <c r="T8" s="85"/>
      <c r="U8" s="49">
        <f>R8*(C8/10^3)</f>
        <v>12.563999999999998</v>
      </c>
      <c r="W8" s="1" t="s">
        <v>17</v>
      </c>
      <c r="X8" s="3">
        <v>0.92</v>
      </c>
      <c r="Z8" s="1" t="s">
        <v>23</v>
      </c>
      <c r="AA8" s="1">
        <v>7</v>
      </c>
      <c r="AC8" s="4" t="s">
        <v>38</v>
      </c>
    </row>
    <row r="9" spans="1:29" x14ac:dyDescent="0.3">
      <c r="A9" s="302"/>
      <c r="B9" s="302"/>
      <c r="C9" s="305"/>
      <c r="D9" s="18">
        <f>IFERROR(ROUNDUP((U9*$X$3*1000*$X$4*$X$2)/((C8/10^3)*$X$5*$AA$4),2),"")</f>
        <v>24.62</v>
      </c>
      <c r="E9" s="19">
        <v>25</v>
      </c>
      <c r="F9" s="21">
        <f>((($X$5*$AA$4*(C8*0.001)*E9)/1000)/O9)</f>
        <v>10.529712060121676</v>
      </c>
      <c r="G9" s="21">
        <f t="shared" ref="G9:G13" si="2">F9/M9</f>
        <v>11.432912117395958</v>
      </c>
      <c r="H9" s="21">
        <f t="shared" ref="H9:H13" si="3">G9/N9</f>
        <v>12.427078388473866</v>
      </c>
      <c r="I9" s="23" t="s">
        <v>15</v>
      </c>
      <c r="J9" s="23" t="s">
        <v>43</v>
      </c>
      <c r="K9" s="7">
        <v>15</v>
      </c>
      <c r="L9" s="7" t="s">
        <v>35</v>
      </c>
      <c r="M9" s="11">
        <f>INDEX('WEG Motor'!$B$3:$AZ$55,
       MATCH(K9,'WEG Motor'!$A$3:$A$55,0),
       MATCH(L9,'WEG Motor'!$B$2:$AZ$2,0))%</f>
        <v>0.92099999999999993</v>
      </c>
      <c r="N9" s="9">
        <v>0.92</v>
      </c>
      <c r="O9" s="6">
        <v>0.83830000000000005</v>
      </c>
      <c r="P9" s="8">
        <v>1.7889999999999999</v>
      </c>
      <c r="Q9" s="37">
        <f>ROUNDUP(H9/(C8/10^3),2)</f>
        <v>345.2</v>
      </c>
      <c r="R9" s="302"/>
      <c r="S9" s="5" t="s">
        <v>100</v>
      </c>
      <c r="T9" s="86"/>
      <c r="U9" s="34">
        <f>R8*(C8/10^3)</f>
        <v>12.563999999999998</v>
      </c>
      <c r="W9" s="1" t="s">
        <v>19</v>
      </c>
      <c r="X9" s="3">
        <v>0.94</v>
      </c>
      <c r="Z9" s="1" t="s">
        <v>24</v>
      </c>
      <c r="AA9" s="1">
        <v>4.1859999999999999</v>
      </c>
    </row>
    <row r="10" spans="1:29" x14ac:dyDescent="0.3">
      <c r="A10" s="302"/>
      <c r="B10" s="302"/>
      <c r="C10" s="305"/>
      <c r="D10" s="18">
        <f>IFERROR(ROUNDUP((U10*$X$3*1000*$X$4*$X$2)/((C8/10^3)*$X$5*$AA$4),2),"")</f>
        <v>24.62</v>
      </c>
      <c r="E10" s="19">
        <v>24</v>
      </c>
      <c r="F10" s="21">
        <f>((($X$5*$AA$4*(C8*0.001)*E10)/1000)/O10)</f>
        <v>10.383501182698199</v>
      </c>
      <c r="G10" s="21">
        <f t="shared" si="2"/>
        <v>11.274159807489902</v>
      </c>
      <c r="H10" s="21">
        <f t="shared" si="3"/>
        <v>12.254521529880327</v>
      </c>
      <c r="I10" s="24" t="s">
        <v>16</v>
      </c>
      <c r="J10" s="24" t="s">
        <v>42</v>
      </c>
      <c r="K10" s="7">
        <v>15</v>
      </c>
      <c r="L10" s="7" t="s">
        <v>35</v>
      </c>
      <c r="M10" s="11">
        <f>INDEX('WEG Motor'!$B$3:$AZ$55,
       MATCH(K10,'WEG Motor'!$A$3:$A$55,0),
       MATCH(L10,'WEG Motor'!$B$2:$AZ$2,0))%</f>
        <v>0.92099999999999993</v>
      </c>
      <c r="N10" s="9">
        <v>0.92</v>
      </c>
      <c r="O10" s="6">
        <v>0.81610000000000005</v>
      </c>
      <c r="P10" s="8">
        <v>1.865</v>
      </c>
      <c r="Q10" s="20">
        <f>ROUNDUP(H10/(C8/10^3),2)</f>
        <v>340.40999999999997</v>
      </c>
      <c r="R10" s="302"/>
      <c r="S10" s="5"/>
      <c r="T10" s="86"/>
      <c r="U10" s="34">
        <f>R8*(C8/10^3)</f>
        <v>12.563999999999998</v>
      </c>
      <c r="V10" s="10"/>
      <c r="W10" s="1" t="s">
        <v>27</v>
      </c>
      <c r="X10" s="3">
        <v>0.8</v>
      </c>
      <c r="Z10" s="1" t="s">
        <v>28</v>
      </c>
      <c r="AA10" s="1">
        <v>9.81</v>
      </c>
      <c r="AC10" s="2" t="s">
        <v>20</v>
      </c>
    </row>
    <row r="11" spans="1:29" x14ac:dyDescent="0.3">
      <c r="A11" s="302"/>
      <c r="B11" s="302"/>
      <c r="C11" s="305"/>
      <c r="D11" s="18">
        <f>IFERROR(ROUNDUP((U11*$X$3*1000*$X$4*$X$2)/((C8/10^3)*$X$5*$AA$4),2),"")</f>
        <v>24.62</v>
      </c>
      <c r="E11" s="19">
        <v>24</v>
      </c>
      <c r="F11" s="21">
        <f>((($X$5*$AA$4*(C8*0.001)*E11)/1000)/O11)</f>
        <v>10.521449360814502</v>
      </c>
      <c r="G11" s="21">
        <f t="shared" si="2"/>
        <v>11.423940674065692</v>
      </c>
      <c r="H11" s="21">
        <f t="shared" si="3"/>
        <v>12.417326819636621</v>
      </c>
      <c r="I11" s="25" t="s">
        <v>30</v>
      </c>
      <c r="J11" s="25" t="s">
        <v>45</v>
      </c>
      <c r="K11" s="7">
        <v>15</v>
      </c>
      <c r="L11" s="7" t="s">
        <v>35</v>
      </c>
      <c r="M11" s="11">
        <f>INDEX('WEG Motor'!$B$3:$AZ$55,
       MATCH(K11,'WEG Motor'!$A$3:$A$55,0),
       MATCH(L11,'WEG Motor'!$B$2:$AZ$2,0))%</f>
        <v>0.92099999999999993</v>
      </c>
      <c r="N11" s="9">
        <v>0.92</v>
      </c>
      <c r="O11" s="6">
        <v>0.8054</v>
      </c>
      <c r="P11" s="8">
        <v>1.7270000000000001</v>
      </c>
      <c r="Q11" s="20">
        <f>ROUNDUP(H11/(C8/10^3),2)</f>
        <v>344.93</v>
      </c>
      <c r="R11" s="302"/>
      <c r="S11" s="5"/>
      <c r="T11" s="86"/>
      <c r="U11" s="34">
        <f>R8*(C8/10^3)</f>
        <v>12.563999999999998</v>
      </c>
      <c r="V11" s="10"/>
      <c r="W11" s="1" t="s">
        <v>22</v>
      </c>
      <c r="X11" s="1">
        <v>999.78</v>
      </c>
      <c r="Z11" s="1" t="s">
        <v>25</v>
      </c>
      <c r="AA11" s="1" t="s">
        <v>26</v>
      </c>
      <c r="AC11" s="2"/>
    </row>
    <row r="12" spans="1:29" ht="28.8" x14ac:dyDescent="0.3">
      <c r="A12" s="302"/>
      <c r="B12" s="302"/>
      <c r="C12" s="305"/>
      <c r="D12" s="18">
        <f>IFERROR(ROUNDUP((U12*$X$3*1000*$X$4*$X$2)/((C8/10^3)*$X$5*$AA$4),2),"")</f>
        <v>24.62</v>
      </c>
      <c r="E12" s="19">
        <v>25</v>
      </c>
      <c r="F12" s="21">
        <f>((($X$5*$AA$4*(C8*0.001)*E12)/1000)/O12)</f>
        <v>10.527200500894455</v>
      </c>
      <c r="G12" s="21">
        <f t="shared" si="2"/>
        <v>11.430185125835457</v>
      </c>
      <c r="H12" s="21">
        <f t="shared" si="3"/>
        <v>12.424114267212452</v>
      </c>
      <c r="I12" s="130" t="s">
        <v>18</v>
      </c>
      <c r="J12" s="12" t="s">
        <v>96</v>
      </c>
      <c r="K12" s="7">
        <v>15</v>
      </c>
      <c r="L12" s="7" t="s">
        <v>35</v>
      </c>
      <c r="M12" s="11">
        <f>INDEX('WEG Motor'!$B$3:$AZ$55,
       MATCH(K12,'WEG Motor'!$A$3:$A$55,0),
       MATCH(L12,'WEG Motor'!$B$2:$AZ$2,0))%</f>
        <v>0.92099999999999993</v>
      </c>
      <c r="N12" s="9">
        <v>0.92</v>
      </c>
      <c r="O12" s="6">
        <v>0.83850000000000002</v>
      </c>
      <c r="P12" s="76">
        <v>2.56</v>
      </c>
      <c r="Q12" s="20">
        <f>ROUNDUP(H12/(C8/10^3),2)</f>
        <v>345.12</v>
      </c>
      <c r="R12" s="302"/>
      <c r="S12" s="5"/>
      <c r="T12" s="86" t="s">
        <v>98</v>
      </c>
      <c r="U12" s="34">
        <f>R8*(C8/10^3)</f>
        <v>12.563999999999998</v>
      </c>
      <c r="V12" s="10"/>
      <c r="Z12" s="1">
        <v>1</v>
      </c>
      <c r="AA12" s="1">
        <v>3.5169999999999999</v>
      </c>
      <c r="AC12" s="2" t="s">
        <v>21</v>
      </c>
    </row>
    <row r="13" spans="1:29" ht="29.4" thickBot="1" x14ac:dyDescent="0.35">
      <c r="A13" s="302"/>
      <c r="B13" s="302"/>
      <c r="C13" s="306"/>
      <c r="D13" s="18">
        <f>IFERROR(ROUNDUP((U13*$X$3*1000*$X$4*$X$2)/((C8/10^3)*$X$5*$AA$4),2),"")</f>
        <v>24.62</v>
      </c>
      <c r="E13" s="19">
        <v>25</v>
      </c>
      <c r="F13" s="21">
        <f>((($X$5*$AA$4*(C8*0.001)*E13)/1000)/O13)</f>
        <v>10.527200500894455</v>
      </c>
      <c r="G13" s="21">
        <f t="shared" si="2"/>
        <v>11.430185125835457</v>
      </c>
      <c r="H13" s="21">
        <f t="shared" si="3"/>
        <v>12.424114267212452</v>
      </c>
      <c r="I13" s="135" t="s">
        <v>32</v>
      </c>
      <c r="J13" s="22" t="s">
        <v>97</v>
      </c>
      <c r="K13" s="7">
        <v>15</v>
      </c>
      <c r="L13" s="7" t="s">
        <v>35</v>
      </c>
      <c r="M13" s="11">
        <f>INDEX('WEG Motor'!$B$3:$AZ$55,
       MATCH(K13,'WEG Motor'!$A$3:$A$55,0),
       MATCH(L13,'WEG Motor'!$B$2:$AZ$2,0))%</f>
        <v>0.92099999999999993</v>
      </c>
      <c r="N13" s="9">
        <v>0.92</v>
      </c>
      <c r="O13" s="6">
        <v>0.83850000000000002</v>
      </c>
      <c r="P13" s="76">
        <v>2.4300000000000002</v>
      </c>
      <c r="Q13" s="20">
        <f>ROUNDUP(H13/(C8/10^3),2)</f>
        <v>345.12</v>
      </c>
      <c r="R13" s="302"/>
      <c r="S13" s="5"/>
      <c r="T13" s="86" t="s">
        <v>98</v>
      </c>
      <c r="U13" s="34">
        <f>R8*(C8/10^3)</f>
        <v>12.563999999999998</v>
      </c>
    </row>
    <row r="14" spans="1:29" x14ac:dyDescent="0.3">
      <c r="A14" s="298">
        <v>2</v>
      </c>
      <c r="B14" s="301">
        <v>350</v>
      </c>
      <c r="C14" s="304">
        <f t="shared" ref="C14" si="4" xml:space="preserve"> ROUND((B14 * $AA$6 * 1000) / ($X$5*$AA$2*$AA$3),0)</f>
        <v>42</v>
      </c>
      <c r="D14" s="50">
        <f>IFERROR(ROUNDUP((U14*$X$3*1000*$X$4*$X$2)/((C14/10^3)*$X$5*$AA$4),2),"")</f>
        <v>24.62</v>
      </c>
      <c r="E14" s="51">
        <v>24.5</v>
      </c>
      <c r="F14" s="52">
        <f>((($X$5*$AA$4*(C14*0.001)*E14)/1000)/O14)</f>
        <v>12.336229326732674</v>
      </c>
      <c r="G14" s="52">
        <f>F14/M14</f>
        <v>13.394385805355782</v>
      </c>
      <c r="H14" s="52">
        <f>G14/N14</f>
        <v>14.559115005821502</v>
      </c>
      <c r="I14" s="53" t="s">
        <v>14</v>
      </c>
      <c r="J14" s="53" t="s">
        <v>44</v>
      </c>
      <c r="K14" s="54">
        <v>15</v>
      </c>
      <c r="L14" s="54" t="s">
        <v>35</v>
      </c>
      <c r="M14" s="55">
        <f>INDEX('WEG Motor'!$B$3:$AZ$55,
       MATCH(K14,'WEG Motor'!$A$3:$A$55,0),
       MATCH(L14,'WEG Motor'!$B$2:$AZ$2,0))%</f>
        <v>0.92099999999999993</v>
      </c>
      <c r="N14" s="56">
        <v>0.92</v>
      </c>
      <c r="O14" s="57">
        <v>0.81810000000000005</v>
      </c>
      <c r="P14" s="75">
        <v>2.04</v>
      </c>
      <c r="Q14" s="59">
        <f>ROUNDUP(H14/(C14/10^3),2)</f>
        <v>346.65</v>
      </c>
      <c r="R14" s="301">
        <v>349</v>
      </c>
      <c r="S14" s="60"/>
      <c r="T14" s="82"/>
      <c r="U14" s="61">
        <f>R14*(C14/10^3)</f>
        <v>14.658000000000001</v>
      </c>
      <c r="W14" s="1" t="s">
        <v>17</v>
      </c>
      <c r="X14" s="3">
        <v>0.92</v>
      </c>
      <c r="Z14" s="1" t="s">
        <v>23</v>
      </c>
      <c r="AA14" s="1">
        <v>7</v>
      </c>
      <c r="AC14" s="4" t="s">
        <v>38</v>
      </c>
    </row>
    <row r="15" spans="1:29" x14ac:dyDescent="0.3">
      <c r="A15" s="299"/>
      <c r="B15" s="302"/>
      <c r="C15" s="305"/>
      <c r="D15" s="18">
        <f>IFERROR(ROUNDUP((U15*$X$3*1000*$X$4*$X$2)/((C14/10^3)*$X$5*$AA$4),2),"")</f>
        <v>24.62</v>
      </c>
      <c r="E15" s="19">
        <v>25</v>
      </c>
      <c r="F15" s="21">
        <f>((($X$5*$AA$4*(C14*0.001)*E15)/1000)/O15)</f>
        <v>12.232134327117233</v>
      </c>
      <c r="G15" s="21">
        <f t="shared" ref="G15:G19" si="5">F15/M15</f>
        <v>13.281361918694065</v>
      </c>
      <c r="H15" s="21">
        <f t="shared" ref="H15:H19" si="6">G15/N15</f>
        <v>14.436262955102244</v>
      </c>
      <c r="I15" s="23" t="s">
        <v>15</v>
      </c>
      <c r="J15" s="23" t="s">
        <v>41</v>
      </c>
      <c r="K15" s="7">
        <v>15</v>
      </c>
      <c r="L15" s="7" t="s">
        <v>35</v>
      </c>
      <c r="M15" s="11">
        <f>INDEX('WEG Motor'!$B$3:$AZ$55,
       MATCH(K15,'WEG Motor'!$A$3:$A$55,0),
       MATCH(L15,'WEG Motor'!$B$2:$AZ$2,0))%</f>
        <v>0.92099999999999993</v>
      </c>
      <c r="N15" s="9">
        <v>0.92</v>
      </c>
      <c r="O15" s="6">
        <v>0.84189999999999998</v>
      </c>
      <c r="P15" s="8">
        <v>2.032</v>
      </c>
      <c r="Q15" s="20">
        <f>ROUNDUP(H15/(C14/10^3),2)</f>
        <v>343.73</v>
      </c>
      <c r="R15" s="302"/>
      <c r="S15" s="5"/>
      <c r="T15" s="83"/>
      <c r="U15" s="62">
        <f>R14*(C14/10^3)</f>
        <v>14.658000000000001</v>
      </c>
      <c r="W15" s="1" t="s">
        <v>19</v>
      </c>
      <c r="X15" s="3">
        <v>0.94</v>
      </c>
      <c r="Z15" s="1" t="s">
        <v>24</v>
      </c>
      <c r="AA15" s="1">
        <v>4.1859999999999999</v>
      </c>
    </row>
    <row r="16" spans="1:29" x14ac:dyDescent="0.3">
      <c r="A16" s="299"/>
      <c r="B16" s="302"/>
      <c r="C16" s="305"/>
      <c r="D16" s="18">
        <f>IFERROR(ROUNDUP((U16*$X$3*1000*$X$4*$X$2)/((C14/10^3)*$X$5*$AA$4),2),"")</f>
        <v>24.62</v>
      </c>
      <c r="E16" s="19">
        <v>25.5</v>
      </c>
      <c r="F16" s="21">
        <f>((($X$5*$AA$4*(C14*0.001)*E16)/1000)/O16)</f>
        <v>12.419246355876092</v>
      </c>
      <c r="G16" s="21">
        <f t="shared" si="5"/>
        <v>13.484523730592935</v>
      </c>
      <c r="H16" s="21">
        <f t="shared" si="6"/>
        <v>14.657091011514058</v>
      </c>
      <c r="I16" s="24" t="s">
        <v>16</v>
      </c>
      <c r="J16" s="24" t="s">
        <v>42</v>
      </c>
      <c r="K16" s="7">
        <v>15</v>
      </c>
      <c r="L16" s="7" t="s">
        <v>35</v>
      </c>
      <c r="M16" s="11">
        <f>INDEX('WEG Motor'!$B$3:$AZ$55,
       MATCH(K16,'WEG Motor'!$A$3:$A$55,0),
       MATCH(L16,'WEG Motor'!$B$2:$AZ$2,0))%</f>
        <v>0.92099999999999993</v>
      </c>
      <c r="N16" s="9">
        <v>0.92</v>
      </c>
      <c r="O16" s="6">
        <v>0.8458</v>
      </c>
      <c r="P16" s="8">
        <v>2.032</v>
      </c>
      <c r="Q16" s="20">
        <f>ROUNDUP(H16/(C14/10^3),2)</f>
        <v>348.98</v>
      </c>
      <c r="R16" s="302"/>
      <c r="S16" s="5"/>
      <c r="T16" s="83"/>
      <c r="U16" s="62">
        <f>R14*(C14/10^3)</f>
        <v>14.658000000000001</v>
      </c>
      <c r="V16" s="10"/>
      <c r="W16" s="1" t="s">
        <v>27</v>
      </c>
      <c r="X16" s="3">
        <v>0.8</v>
      </c>
      <c r="Z16" s="1" t="s">
        <v>28</v>
      </c>
      <c r="AA16" s="1">
        <v>9.81</v>
      </c>
      <c r="AC16" s="2" t="s">
        <v>20</v>
      </c>
    </row>
    <row r="17" spans="1:29" x14ac:dyDescent="0.3">
      <c r="A17" s="299"/>
      <c r="B17" s="302"/>
      <c r="C17" s="305"/>
      <c r="D17" s="18">
        <f>IFERROR(ROUNDUP((U17*$X$3*1000*$X$4*$X$2)/((C14/10^3)*$X$5*$AA$4),2),"")</f>
        <v>24.62</v>
      </c>
      <c r="E17" s="19">
        <v>24.5</v>
      </c>
      <c r="F17" s="21">
        <f>((($X$5*$AA$4*(C14*0.001)*E17)/1000)/O17)</f>
        <v>12.337737423227386</v>
      </c>
      <c r="G17" s="21">
        <f t="shared" si="5"/>
        <v>13.396023260833211</v>
      </c>
      <c r="H17" s="21">
        <f t="shared" si="6"/>
        <v>14.560894848731751</v>
      </c>
      <c r="I17" s="25" t="s">
        <v>30</v>
      </c>
      <c r="J17" s="25" t="s">
        <v>45</v>
      </c>
      <c r="K17" s="7">
        <v>15</v>
      </c>
      <c r="L17" s="7" t="s">
        <v>35</v>
      </c>
      <c r="M17" s="11">
        <f>INDEX('WEG Motor'!$B$3:$AZ$55,
       MATCH(K17,'WEG Motor'!$A$3:$A$55,0),
       MATCH(L17,'WEG Motor'!$B$2:$AZ$2,0))%</f>
        <v>0.92099999999999993</v>
      </c>
      <c r="N17" s="9">
        <v>0.92</v>
      </c>
      <c r="O17" s="6">
        <v>0.81799999999999995</v>
      </c>
      <c r="P17" s="8">
        <v>2.0449999999999999</v>
      </c>
      <c r="Q17" s="20">
        <f>ROUNDUP(H17/(C14/10^3),2)</f>
        <v>346.69</v>
      </c>
      <c r="R17" s="302"/>
      <c r="S17" s="5"/>
      <c r="T17" s="83"/>
      <c r="U17" s="62">
        <f>R14*(C14/10^3)</f>
        <v>14.658000000000001</v>
      </c>
      <c r="V17" s="10"/>
      <c r="W17" s="1" t="s">
        <v>22</v>
      </c>
      <c r="X17" s="1">
        <v>999.78</v>
      </c>
      <c r="Z17" s="1" t="s">
        <v>25</v>
      </c>
      <c r="AA17" s="1" t="s">
        <v>26</v>
      </c>
      <c r="AC17" s="2"/>
    </row>
    <row r="18" spans="1:29" ht="28.8" x14ac:dyDescent="0.3">
      <c r="A18" s="299"/>
      <c r="B18" s="302"/>
      <c r="C18" s="305"/>
      <c r="D18" s="18">
        <f>IFERROR(ROUNDUP((U18*$X$3*1000*$X$4*$X$2)/((C14/10^3)*$X$5*$AA$4),2),"")</f>
        <v>24.62</v>
      </c>
      <c r="E18" s="19">
        <v>24.5</v>
      </c>
      <c r="F18" s="21">
        <f>((($X$5*$AA$4*(C14*0.001)*E18)/1000)/O18)</f>
        <v>12.090893988498864</v>
      </c>
      <c r="G18" s="21">
        <f t="shared" si="5"/>
        <v>13.128006502170321</v>
      </c>
      <c r="H18" s="21">
        <f t="shared" si="6"/>
        <v>14.269572284967738</v>
      </c>
      <c r="I18" s="120" t="s">
        <v>18</v>
      </c>
      <c r="J18" s="118" t="s">
        <v>96</v>
      </c>
      <c r="K18" s="89">
        <v>15</v>
      </c>
      <c r="L18" s="89" t="s">
        <v>35</v>
      </c>
      <c r="M18" s="90">
        <f>INDEX('WEG Motor'!$B$3:$AZ$55,
       MATCH(K18,'WEG Motor'!$A$3:$A$55,0),
       MATCH(L18,'WEG Motor'!$B$2:$AZ$2,0))%</f>
        <v>0.92099999999999993</v>
      </c>
      <c r="N18" s="91">
        <v>0.92</v>
      </c>
      <c r="O18" s="92">
        <v>0.8347</v>
      </c>
      <c r="P18" s="119">
        <v>2.57</v>
      </c>
      <c r="Q18" s="96">
        <f>ROUNDUP(H18/(C14/10^3),2)</f>
        <v>339.76</v>
      </c>
      <c r="R18" s="302"/>
      <c r="S18" s="5"/>
      <c r="T18" s="83" t="s">
        <v>98</v>
      </c>
      <c r="U18" s="62">
        <f>R14*(C14/10^3)</f>
        <v>14.658000000000001</v>
      </c>
      <c r="V18" s="10"/>
      <c r="Z18" s="1">
        <v>1</v>
      </c>
      <c r="AA18" s="1">
        <v>3.5169999999999999</v>
      </c>
      <c r="AC18" s="2" t="s">
        <v>21</v>
      </c>
    </row>
    <row r="19" spans="1:29" ht="29.4" thickBot="1" x14ac:dyDescent="0.35">
      <c r="A19" s="300"/>
      <c r="B19" s="303"/>
      <c r="C19" s="306"/>
      <c r="D19" s="63">
        <f>IFERROR(ROUNDUP((U19*$X$3*1000*$X$4*$X$2)/((C14/10^3)*$X$5*$AA$4),2),"")</f>
        <v>24.62</v>
      </c>
      <c r="E19" s="64">
        <v>24.5</v>
      </c>
      <c r="F19" s="65">
        <f>((($X$5*$AA$4*(C14*0.001)*E19)/1000)/O19)</f>
        <v>12.090893988498864</v>
      </c>
      <c r="G19" s="65">
        <f t="shared" si="5"/>
        <v>13.128006502170321</v>
      </c>
      <c r="H19" s="65">
        <f t="shared" si="6"/>
        <v>14.269572284967738</v>
      </c>
      <c r="I19" s="122" t="s">
        <v>32</v>
      </c>
      <c r="J19" s="123" t="s">
        <v>97</v>
      </c>
      <c r="K19" s="124">
        <v>15</v>
      </c>
      <c r="L19" s="124" t="s">
        <v>35</v>
      </c>
      <c r="M19" s="125">
        <f>INDEX('WEG Motor'!$B$3:$AZ$55,
       MATCH(K19,'WEG Motor'!$A$3:$A$55,0),
       MATCH(L19,'WEG Motor'!$B$2:$AZ$2,0))%</f>
        <v>0.92099999999999993</v>
      </c>
      <c r="N19" s="126">
        <v>0.92</v>
      </c>
      <c r="O19" s="127">
        <v>0.8347</v>
      </c>
      <c r="P19" s="128">
        <v>2.57</v>
      </c>
      <c r="Q19" s="131">
        <f>ROUNDUP(H19/(C14/10^3),2)</f>
        <v>339.76</v>
      </c>
      <c r="R19" s="303"/>
      <c r="S19" s="73"/>
      <c r="T19" s="83" t="s">
        <v>98</v>
      </c>
      <c r="U19" s="74">
        <f>R14*(C14/10^3)</f>
        <v>14.658000000000001</v>
      </c>
    </row>
    <row r="20" spans="1:29" x14ac:dyDescent="0.3">
      <c r="A20" s="298">
        <v>3</v>
      </c>
      <c r="B20" s="301">
        <v>400</v>
      </c>
      <c r="C20" s="304">
        <f t="shared" ref="C20" si="7" xml:space="preserve"> ROUND((B20 * $AA$6 * 1000) / ($X$5*$AA$2*$AA$3),0)</f>
        <v>48</v>
      </c>
      <c r="D20" s="50">
        <f>IFERROR(ROUNDUP((U20*$X$3*1000*$X$4*$X$2)/((C20/10^3)*$X$5*$AA$4),2),"")</f>
        <v>24.62</v>
      </c>
      <c r="E20" s="51">
        <v>24.5</v>
      </c>
      <c r="F20" s="52">
        <f>((($X$5*$AA$4*(C20*0.001)*E20)/1000)/O20)</f>
        <v>14.016310556325195</v>
      </c>
      <c r="G20" s="52">
        <f>F20/M20</f>
        <v>15.136404488472133</v>
      </c>
      <c r="H20" s="52">
        <f>G20/N20</f>
        <v>16.452613574426231</v>
      </c>
      <c r="I20" s="53" t="s">
        <v>14</v>
      </c>
      <c r="J20" s="53" t="s">
        <v>46</v>
      </c>
      <c r="K20" s="54">
        <v>18.5</v>
      </c>
      <c r="L20" s="54" t="s">
        <v>35</v>
      </c>
      <c r="M20" s="55">
        <f>INDEX('WEG Motor'!$B$3:$AZ$55,
       MATCH(K20,'WEG Motor'!$A$3:$A$55,0),
       MATCH(L20,'WEG Motor'!$B$2:$AZ$2,0))%</f>
        <v>0.92599999999999993</v>
      </c>
      <c r="N20" s="56">
        <v>0.92</v>
      </c>
      <c r="O20" s="57">
        <v>0.82289999999999996</v>
      </c>
      <c r="P20" s="75">
        <v>2.19</v>
      </c>
      <c r="Q20" s="59">
        <f>ROUNDUP(H20/(C20/10^3),2)</f>
        <v>342.77</v>
      </c>
      <c r="R20" s="301">
        <v>349</v>
      </c>
      <c r="S20" s="60"/>
      <c r="T20" s="82"/>
      <c r="U20" s="61">
        <f>R20*(C20/10^3)</f>
        <v>16.751999999999999</v>
      </c>
      <c r="W20" s="1" t="s">
        <v>17</v>
      </c>
      <c r="X20" s="3">
        <v>0.92</v>
      </c>
      <c r="Z20" s="1" t="s">
        <v>23</v>
      </c>
      <c r="AA20" s="1">
        <v>7</v>
      </c>
      <c r="AC20" s="4" t="s">
        <v>38</v>
      </c>
    </row>
    <row r="21" spans="1:29" x14ac:dyDescent="0.3">
      <c r="A21" s="299"/>
      <c r="B21" s="302"/>
      <c r="C21" s="305"/>
      <c r="D21" s="18">
        <f>IFERROR(ROUNDUP((U21*$X$3*1000*$X$4*$X$2)/((C20/10^3)*$X$5*$AA$4),2),"")</f>
        <v>24.62</v>
      </c>
      <c r="E21" s="19">
        <v>24.5</v>
      </c>
      <c r="F21" s="21">
        <f>((($X$5*$AA$4*(C20*0.001)*E21)/1000)/O21)</f>
        <v>14.053883217740955</v>
      </c>
      <c r="G21" s="21">
        <f t="shared" ref="G21:G25" si="8">F21/M21</f>
        <v>15.17697971678289</v>
      </c>
      <c r="H21" s="21">
        <f t="shared" ref="H21:H25" si="9">G21/N21</f>
        <v>16.496717083459661</v>
      </c>
      <c r="I21" s="23" t="s">
        <v>15</v>
      </c>
      <c r="J21" s="23" t="s">
        <v>48</v>
      </c>
      <c r="K21" s="7">
        <v>18.5</v>
      </c>
      <c r="L21" s="7" t="s">
        <v>35</v>
      </c>
      <c r="M21" s="11">
        <f>INDEX('WEG Motor'!$B$3:$AZ$55,
       MATCH(K21,'WEG Motor'!$A$3:$A$55,0),
       MATCH(L21,'WEG Motor'!$B$2:$AZ$2,0))%</f>
        <v>0.92599999999999993</v>
      </c>
      <c r="N21" s="9">
        <v>0.92</v>
      </c>
      <c r="O21" s="6">
        <v>0.82069999999999999</v>
      </c>
      <c r="P21" s="8">
        <v>2.6379999999999999</v>
      </c>
      <c r="Q21" s="20">
        <f>ROUNDUP(H21/(C20/10^3),2)</f>
        <v>343.69</v>
      </c>
      <c r="R21" s="302"/>
      <c r="S21" s="5"/>
      <c r="T21" s="83"/>
      <c r="U21" s="62">
        <f>R20*(C20/10^3)</f>
        <v>16.751999999999999</v>
      </c>
      <c r="W21" s="1" t="s">
        <v>19</v>
      </c>
      <c r="X21" s="3">
        <v>0.94</v>
      </c>
      <c r="Z21" s="1" t="s">
        <v>24</v>
      </c>
      <c r="AA21" s="1">
        <v>4.1859999999999999</v>
      </c>
    </row>
    <row r="22" spans="1:29" x14ac:dyDescent="0.3">
      <c r="A22" s="299"/>
      <c r="B22" s="302"/>
      <c r="C22" s="305"/>
      <c r="D22" s="18">
        <f>IFERROR(ROUNDUP((U22*$X$3*1000*$X$4*$X$2)/((C20/10^3)*$X$5*$AA$4),2),"")</f>
        <v>24.62</v>
      </c>
      <c r="E22" s="19">
        <v>24.5</v>
      </c>
      <c r="F22" s="21">
        <f>((($X$5*$AA$4*(C20*0.001)*E22)/1000)/O22)</f>
        <v>14.053883217740955</v>
      </c>
      <c r="G22" s="21">
        <f t="shared" si="8"/>
        <v>15.17697971678289</v>
      </c>
      <c r="H22" s="21">
        <f t="shared" si="9"/>
        <v>16.496717083459661</v>
      </c>
      <c r="I22" s="24" t="s">
        <v>16</v>
      </c>
      <c r="J22" s="24" t="s">
        <v>47</v>
      </c>
      <c r="K22" s="7">
        <v>18.5</v>
      </c>
      <c r="L22" s="7" t="s">
        <v>35</v>
      </c>
      <c r="M22" s="11">
        <f>INDEX('WEG Motor'!$B$3:$AZ$55,
       MATCH(K22,'WEG Motor'!$A$3:$A$55,0),
       MATCH(L22,'WEG Motor'!$B$2:$AZ$2,0))%</f>
        <v>0.92599999999999993</v>
      </c>
      <c r="N22" s="9">
        <v>0.92</v>
      </c>
      <c r="O22" s="6">
        <v>0.82069999999999999</v>
      </c>
      <c r="P22" s="8">
        <v>2.6379999999999999</v>
      </c>
      <c r="Q22" s="20">
        <f>ROUNDUP(H22/(C20/10^3),2)</f>
        <v>343.69</v>
      </c>
      <c r="R22" s="302"/>
      <c r="S22" s="5"/>
      <c r="T22" s="83"/>
      <c r="U22" s="62">
        <f>R20*(C20/10^3)</f>
        <v>16.751999999999999</v>
      </c>
      <c r="V22" s="10"/>
      <c r="W22" s="1" t="s">
        <v>27</v>
      </c>
      <c r="X22" s="3">
        <v>0.8</v>
      </c>
      <c r="Z22" s="1" t="s">
        <v>28</v>
      </c>
      <c r="AA22" s="1">
        <v>9.81</v>
      </c>
      <c r="AC22" s="2" t="s">
        <v>20</v>
      </c>
    </row>
    <row r="23" spans="1:29" x14ac:dyDescent="0.3">
      <c r="A23" s="299"/>
      <c r="B23" s="302"/>
      <c r="C23" s="305"/>
      <c r="D23" s="18">
        <f>IFERROR(ROUNDUP((U23*$X$3*1000*$X$4*$X$2)/((C20/10^3)*$X$5*$AA$4),2),"")</f>
        <v>24.62</v>
      </c>
      <c r="E23" s="19">
        <v>24.5</v>
      </c>
      <c r="F23" s="21">
        <f>((($X$5*$AA$4*(C20*0.001)*E23)/1000)/O23)</f>
        <v>14.264187431115511</v>
      </c>
      <c r="G23" s="21">
        <f t="shared" si="8"/>
        <v>15.404090098396882</v>
      </c>
      <c r="H23" s="21">
        <f t="shared" si="9"/>
        <v>16.743576193909654</v>
      </c>
      <c r="I23" s="25" t="s">
        <v>30</v>
      </c>
      <c r="J23" s="25" t="s">
        <v>49</v>
      </c>
      <c r="K23" s="7">
        <v>18.5</v>
      </c>
      <c r="L23" s="7" t="s">
        <v>35</v>
      </c>
      <c r="M23" s="11">
        <f>INDEX('WEG Motor'!$B$3:$AZ$55,
       MATCH(K23,'WEG Motor'!$A$3:$A$55,0),
       MATCH(L23,'WEG Motor'!$B$2:$AZ$2,0))%</f>
        <v>0.92599999999999993</v>
      </c>
      <c r="N23" s="9">
        <v>0.92</v>
      </c>
      <c r="O23" s="6">
        <v>0.80859999999999999</v>
      </c>
      <c r="P23" s="8">
        <v>2.972</v>
      </c>
      <c r="Q23" s="20">
        <f>ROUNDUP(H23/(C20/10^3),2)</f>
        <v>348.83</v>
      </c>
      <c r="R23" s="302"/>
      <c r="S23" s="5"/>
      <c r="T23" s="83"/>
      <c r="U23" s="62">
        <f>R20*(C20/10^3)</f>
        <v>16.751999999999999</v>
      </c>
      <c r="V23" s="10"/>
      <c r="W23" s="1" t="s">
        <v>22</v>
      </c>
      <c r="X23" s="1">
        <v>999.78</v>
      </c>
      <c r="Z23" s="1" t="s">
        <v>25</v>
      </c>
      <c r="AA23" s="1" t="s">
        <v>26</v>
      </c>
      <c r="AC23" s="2"/>
    </row>
    <row r="24" spans="1:29" ht="28.8" x14ac:dyDescent="0.3">
      <c r="A24" s="299"/>
      <c r="B24" s="302"/>
      <c r="C24" s="305"/>
      <c r="D24" s="18">
        <f>IFERROR(ROUNDUP((U24*$X$3*1000*$X$4*$X$2)/((C20/10^3)*$X$5*$AA$4),2),"")</f>
        <v>24.62</v>
      </c>
      <c r="E24" s="19">
        <v>24.5</v>
      </c>
      <c r="F24" s="21">
        <f>((($X$5*$AA$4*(C20*0.001)*E24)/1000)/O24)</f>
        <v>13.980632674909094</v>
      </c>
      <c r="G24" s="21">
        <f t="shared" si="8"/>
        <v>15.097875458865113</v>
      </c>
      <c r="H24" s="21">
        <f t="shared" si="9"/>
        <v>16.410734194418602</v>
      </c>
      <c r="I24" s="120" t="s">
        <v>18</v>
      </c>
      <c r="J24" s="118" t="s">
        <v>99</v>
      </c>
      <c r="K24" s="89">
        <v>18.5</v>
      </c>
      <c r="L24" s="89" t="s">
        <v>35</v>
      </c>
      <c r="M24" s="90">
        <f>INDEX('WEG Motor'!$B$3:$AZ$55,
       MATCH(K24,'WEG Motor'!$A$3:$A$55,0),
       MATCH(L24,'WEG Motor'!$B$2:$AZ$2,0))%</f>
        <v>0.92599999999999993</v>
      </c>
      <c r="N24" s="91">
        <v>0.92</v>
      </c>
      <c r="O24" s="92">
        <v>0.82499999999999996</v>
      </c>
      <c r="P24" s="119">
        <v>2.67</v>
      </c>
      <c r="Q24" s="116">
        <f>ROUNDUP(H24/(C20/10^3),2)</f>
        <v>341.9</v>
      </c>
      <c r="R24" s="302"/>
      <c r="S24" s="5"/>
      <c r="T24" s="83" t="s">
        <v>98</v>
      </c>
      <c r="U24" s="62">
        <f>R20*(C20/10^3)</f>
        <v>16.751999999999999</v>
      </c>
      <c r="V24" s="10"/>
      <c r="Z24" s="1">
        <v>1</v>
      </c>
      <c r="AA24" s="1">
        <v>3.5169999999999999</v>
      </c>
      <c r="AC24" s="2" t="s">
        <v>21</v>
      </c>
    </row>
    <row r="25" spans="1:29" ht="29.4" thickBot="1" x14ac:dyDescent="0.35">
      <c r="A25" s="300"/>
      <c r="B25" s="303"/>
      <c r="C25" s="306"/>
      <c r="D25" s="63">
        <f>IFERROR(ROUNDUP((U25*$X$3*1000*$X$4*$X$2)/((C20/10^3)*$X$5*$AA$4),2),"")</f>
        <v>24.62</v>
      </c>
      <c r="E25" s="64">
        <v>24.5</v>
      </c>
      <c r="F25" s="65">
        <f>((($X$5*$AA$4*(C20*0.001)*E25)/1000)/O25)</f>
        <v>13.980632674909094</v>
      </c>
      <c r="G25" s="65">
        <f t="shared" si="8"/>
        <v>15.097875458865113</v>
      </c>
      <c r="H25" s="65">
        <f t="shared" si="9"/>
        <v>16.410734194418602</v>
      </c>
      <c r="I25" s="122" t="s">
        <v>32</v>
      </c>
      <c r="J25" s="123" t="s">
        <v>101</v>
      </c>
      <c r="K25" s="124">
        <v>18.5</v>
      </c>
      <c r="L25" s="124" t="s">
        <v>35</v>
      </c>
      <c r="M25" s="125">
        <f>INDEX('WEG Motor'!$B$3:$AZ$55,
       MATCH(K25,'WEG Motor'!$A$3:$A$55,0),
       MATCH(L25,'WEG Motor'!$B$2:$AZ$2,0))%</f>
        <v>0.92599999999999993</v>
      </c>
      <c r="N25" s="126">
        <v>0.92</v>
      </c>
      <c r="O25" s="127">
        <v>0.82499999999999996</v>
      </c>
      <c r="P25" s="128">
        <v>2.67</v>
      </c>
      <c r="Q25" s="129">
        <f>ROUNDUP(H25/(C20/10^3),2)</f>
        <v>341.9</v>
      </c>
      <c r="R25" s="303"/>
      <c r="S25" s="73"/>
      <c r="T25" s="84" t="s">
        <v>98</v>
      </c>
      <c r="U25" s="74">
        <f>R20*(C20/10^3)</f>
        <v>16.751999999999999</v>
      </c>
    </row>
    <row r="26" spans="1:29" x14ac:dyDescent="0.3">
      <c r="A26" s="298">
        <v>4</v>
      </c>
      <c r="B26" s="301">
        <v>450</v>
      </c>
      <c r="C26" s="304">
        <f t="shared" ref="C26" si="10" xml:space="preserve"> ROUND((B26 * $AA$6 * 1000) / ($X$5*$AA$2*$AA$3),0)</f>
        <v>54</v>
      </c>
      <c r="D26" s="50">
        <f>IFERROR(ROUNDUP((U26*$X$3*1000*$X$4*$X$2)/((C26/10^3)*$X$5*$AA$4),2),"")</f>
        <v>24.62</v>
      </c>
      <c r="E26" s="51">
        <v>24.5</v>
      </c>
      <c r="F26" s="52">
        <f>((($X$5*$AA$4*(C26*0.001)*E26)/1000)/O26)</f>
        <v>15.526833434725379</v>
      </c>
      <c r="G26" s="52">
        <f>F26/M26</f>
        <v>16.767638698407538</v>
      </c>
      <c r="H26" s="52">
        <f>G26/N26</f>
        <v>18.225694237399498</v>
      </c>
      <c r="I26" s="53" t="s">
        <v>14</v>
      </c>
      <c r="J26" s="53" t="s">
        <v>46</v>
      </c>
      <c r="K26" s="54">
        <v>18.5</v>
      </c>
      <c r="L26" s="54" t="s">
        <v>35</v>
      </c>
      <c r="M26" s="55">
        <f>INDEX('WEG Motor'!$B$3:$AZ$55,
       MATCH(K26,'WEG Motor'!$A$3:$A$55,0),
       MATCH(L26,'WEG Motor'!$B$2:$AZ$2,0))%</f>
        <v>0.92599999999999993</v>
      </c>
      <c r="N26" s="56">
        <v>0.92</v>
      </c>
      <c r="O26" s="57">
        <v>0.8357</v>
      </c>
      <c r="P26" s="58">
        <v>2.2490000000000001</v>
      </c>
      <c r="Q26" s="107">
        <f>ROUNDUP(H26/(C26/10^3),2)</f>
        <v>337.52</v>
      </c>
      <c r="R26" s="301">
        <v>349</v>
      </c>
      <c r="S26" s="60"/>
      <c r="T26" s="82"/>
      <c r="U26" s="61">
        <f>R26*(C26/10^3)</f>
        <v>18.846</v>
      </c>
      <c r="W26" s="1" t="s">
        <v>17</v>
      </c>
      <c r="X26" s="3">
        <v>0.92</v>
      </c>
      <c r="Z26" s="1" t="s">
        <v>23</v>
      </c>
      <c r="AA26" s="1">
        <v>7</v>
      </c>
      <c r="AC26" s="4" t="s">
        <v>38</v>
      </c>
    </row>
    <row r="27" spans="1:29" x14ac:dyDescent="0.3">
      <c r="A27" s="299"/>
      <c r="B27" s="302"/>
      <c r="C27" s="305"/>
      <c r="D27" s="18">
        <f>IFERROR(ROUNDUP((U27*$X$3*1000*$X$4*$X$2)/((C26/10^3)*$X$5*$AA$4),2),"")</f>
        <v>24.62</v>
      </c>
      <c r="E27" s="19">
        <v>25</v>
      </c>
      <c r="F27" s="21">
        <f>((($X$5*$AA$4*(C26*0.001)*E27)/1000)/O27)</f>
        <v>15.798337227061209</v>
      </c>
      <c r="G27" s="21">
        <f t="shared" ref="G27:G31" si="11">F27/M27</f>
        <v>17.06083933807906</v>
      </c>
      <c r="H27" s="21">
        <f t="shared" ref="H27:H31" si="12">G27/N27</f>
        <v>18.544390584868541</v>
      </c>
      <c r="I27" s="23" t="s">
        <v>15</v>
      </c>
      <c r="J27" s="23" t="s">
        <v>50</v>
      </c>
      <c r="K27" s="7">
        <v>18.5</v>
      </c>
      <c r="L27" s="7" t="s">
        <v>35</v>
      </c>
      <c r="M27" s="11">
        <f>INDEX('WEG Motor'!$B$3:$AZ$55,
       MATCH(K27,'WEG Motor'!$A$3:$A$55,0),
       MATCH(L27,'WEG Motor'!$B$2:$AZ$2,0))%</f>
        <v>0.92599999999999993</v>
      </c>
      <c r="N27" s="9">
        <v>0.92</v>
      </c>
      <c r="O27" s="6">
        <v>0.83809999999999996</v>
      </c>
      <c r="P27" s="8">
        <v>2.5670000000000002</v>
      </c>
      <c r="Q27" s="20">
        <f>ROUNDUP(H27/(C26/10^3),2)</f>
        <v>343.42</v>
      </c>
      <c r="R27" s="302"/>
      <c r="S27" s="5"/>
      <c r="T27" s="83"/>
      <c r="U27" s="62">
        <f>R26*(C26/10^3)</f>
        <v>18.846</v>
      </c>
      <c r="W27" s="1" t="s">
        <v>19</v>
      </c>
      <c r="X27" s="3">
        <v>0.94</v>
      </c>
      <c r="Z27" s="1" t="s">
        <v>24</v>
      </c>
      <c r="AA27" s="1">
        <v>4.1859999999999999</v>
      </c>
    </row>
    <row r="28" spans="1:29" x14ac:dyDescent="0.3">
      <c r="A28" s="299"/>
      <c r="B28" s="302"/>
      <c r="C28" s="305"/>
      <c r="D28" s="18">
        <f>IFERROR(ROUNDUP((U28*$X$3*1000*$X$4*$X$2)/((C26/10^3)*$X$5*$AA$4),2),"")</f>
        <v>24.62</v>
      </c>
      <c r="E28" s="19">
        <v>24.5</v>
      </c>
      <c r="F28" s="21">
        <f>((($X$5*$AA$4*(C26*0.001)*E28)/1000)/O28)</f>
        <v>15.897788166380787</v>
      </c>
      <c r="G28" s="21">
        <f t="shared" si="11"/>
        <v>17.168237760670397</v>
      </c>
      <c r="H28" s="21">
        <f t="shared" si="12"/>
        <v>18.661128000728691</v>
      </c>
      <c r="I28" s="24" t="s">
        <v>16</v>
      </c>
      <c r="J28" s="24" t="s">
        <v>52</v>
      </c>
      <c r="K28" s="7">
        <v>18.5</v>
      </c>
      <c r="L28" s="7" t="s">
        <v>35</v>
      </c>
      <c r="M28" s="11">
        <f>INDEX('WEG Motor'!$B$3:$AZ$55,
       MATCH(K28,'WEG Motor'!$A$3:$A$55,0),
       MATCH(L28,'WEG Motor'!$B$2:$AZ$2,0))%</f>
        <v>0.92599999999999993</v>
      </c>
      <c r="N28" s="9">
        <v>0.92</v>
      </c>
      <c r="O28" s="6">
        <v>0.81620000000000004</v>
      </c>
      <c r="P28" s="8">
        <v>2.5670000000000002</v>
      </c>
      <c r="Q28" s="20">
        <f>ROUNDUP(H28/(C26/10^3),2)</f>
        <v>345.58</v>
      </c>
      <c r="R28" s="302"/>
      <c r="S28" s="5"/>
      <c r="T28" s="83"/>
      <c r="U28" s="62">
        <f>R26*(C26/10^3)</f>
        <v>18.846</v>
      </c>
      <c r="V28" s="10"/>
      <c r="W28" s="1" t="s">
        <v>27</v>
      </c>
      <c r="X28" s="3">
        <v>0.8</v>
      </c>
      <c r="Z28" s="1" t="s">
        <v>28</v>
      </c>
      <c r="AA28" s="1">
        <v>9.81</v>
      </c>
      <c r="AC28" s="2" t="s">
        <v>20</v>
      </c>
    </row>
    <row r="29" spans="1:29" x14ac:dyDescent="0.3">
      <c r="A29" s="299"/>
      <c r="B29" s="302"/>
      <c r="C29" s="305"/>
      <c r="D29" s="18">
        <f>IFERROR(ROUNDUP((U29*$X$3*1000*$X$4*$X$2)/((C26/10^3)*$X$5*$AA$4),2),"")</f>
        <v>24.62</v>
      </c>
      <c r="E29" s="19">
        <v>25</v>
      </c>
      <c r="F29" s="21">
        <f>((($X$5*$AA$4*(C26*0.001)*E29)/1000)/O29)</f>
        <v>15.858889004671218</v>
      </c>
      <c r="G29" s="21">
        <f t="shared" si="11"/>
        <v>17.126230026642784</v>
      </c>
      <c r="H29" s="21">
        <f t="shared" si="12"/>
        <v>18.615467420263894</v>
      </c>
      <c r="I29" s="25" t="s">
        <v>30</v>
      </c>
      <c r="J29" s="25" t="s">
        <v>51</v>
      </c>
      <c r="K29" s="7">
        <v>18.5</v>
      </c>
      <c r="L29" s="7" t="s">
        <v>35</v>
      </c>
      <c r="M29" s="11">
        <f>INDEX('WEG Motor'!$B$3:$AZ$55,
       MATCH(K29,'WEG Motor'!$A$3:$A$55,0),
       MATCH(L29,'WEG Motor'!$B$2:$AZ$2,0))%</f>
        <v>0.92599999999999993</v>
      </c>
      <c r="N29" s="9">
        <v>0.92</v>
      </c>
      <c r="O29" s="6">
        <v>0.83489999999999998</v>
      </c>
      <c r="P29" s="8">
        <v>2.274</v>
      </c>
      <c r="Q29" s="20">
        <f>ROUNDUP(H29/(C26/10^3),2)</f>
        <v>344.74</v>
      </c>
      <c r="R29" s="302"/>
      <c r="S29" s="5"/>
      <c r="T29" s="83"/>
      <c r="U29" s="62">
        <f>R26*(C26/10^3)</f>
        <v>18.846</v>
      </c>
      <c r="V29" s="10"/>
      <c r="W29" s="1" t="s">
        <v>22</v>
      </c>
      <c r="X29" s="1">
        <v>999.78</v>
      </c>
      <c r="Z29" s="1" t="s">
        <v>25</v>
      </c>
      <c r="AA29" s="1" t="s">
        <v>26</v>
      </c>
      <c r="AC29" s="2"/>
    </row>
    <row r="30" spans="1:29" x14ac:dyDescent="0.3">
      <c r="A30" s="299"/>
      <c r="B30" s="302"/>
      <c r="C30" s="305"/>
      <c r="D30" s="18">
        <f>IFERROR(ROUNDUP((U30*$X$3*1000*$X$4*$X$2)/((C26/10^3)*$X$5*$AA$4),2),"")</f>
        <v>24.62</v>
      </c>
      <c r="E30" s="19">
        <v>24.5</v>
      </c>
      <c r="F30" s="21">
        <f>((($X$5*$AA$4*(C26*0.001)*E30)/1000)/O30)</f>
        <v>16.02738970034585</v>
      </c>
      <c r="G30" s="21">
        <f t="shared" si="11"/>
        <v>17.308196220675864</v>
      </c>
      <c r="H30" s="21">
        <f t="shared" si="12"/>
        <v>18.813256761604197</v>
      </c>
      <c r="I30" s="12" t="s">
        <v>18</v>
      </c>
      <c r="J30" s="12" t="s">
        <v>102</v>
      </c>
      <c r="K30" s="7">
        <v>18.5</v>
      </c>
      <c r="L30" s="7" t="s">
        <v>35</v>
      </c>
      <c r="M30" s="11">
        <f>INDEX('WEG Motor'!$B$3:$AZ$55,
       MATCH(K30,'WEG Motor'!$A$3:$A$55,0),
       MATCH(L30,'WEG Motor'!$B$2:$AZ$2,0))%</f>
        <v>0.92599999999999993</v>
      </c>
      <c r="N30" s="9">
        <v>0.92</v>
      </c>
      <c r="O30" s="6">
        <v>0.80959999999999999</v>
      </c>
      <c r="P30" s="76">
        <v>4</v>
      </c>
      <c r="Q30" s="37">
        <f>ROUNDUP(H30/(C26/10^3),2)</f>
        <v>348.4</v>
      </c>
      <c r="R30" s="302"/>
      <c r="S30" s="5"/>
      <c r="T30" s="83"/>
      <c r="U30" s="62">
        <f>R26*(C26/10^3)</f>
        <v>18.846</v>
      </c>
      <c r="V30" s="10"/>
      <c r="Z30" s="1">
        <v>1</v>
      </c>
      <c r="AA30" s="1">
        <v>3.5169999999999999</v>
      </c>
      <c r="AC30" s="2" t="s">
        <v>21</v>
      </c>
    </row>
    <row r="31" spans="1:29" ht="15" thickBot="1" x14ac:dyDescent="0.35">
      <c r="A31" s="300"/>
      <c r="B31" s="303"/>
      <c r="C31" s="306"/>
      <c r="D31" s="63">
        <f>IFERROR(ROUNDUP((U31*$X$3*1000*$X$4*$X$2)/((C26/10^3)*$X$5*$AA$4),2),"")</f>
        <v>24.62</v>
      </c>
      <c r="E31" s="64">
        <v>24.5</v>
      </c>
      <c r="F31" s="65">
        <f>((($X$5*$AA$4*(C26*0.001)*E31)/1000)/O31)</f>
        <v>16.02738970034585</v>
      </c>
      <c r="G31" s="65">
        <f t="shared" si="11"/>
        <v>17.308196220675864</v>
      </c>
      <c r="H31" s="65">
        <f t="shared" si="12"/>
        <v>18.813256761604197</v>
      </c>
      <c r="I31" s="66" t="s">
        <v>32</v>
      </c>
      <c r="J31" s="66" t="s">
        <v>103</v>
      </c>
      <c r="K31" s="67">
        <v>18.5</v>
      </c>
      <c r="L31" s="67" t="s">
        <v>35</v>
      </c>
      <c r="M31" s="68">
        <f>INDEX('WEG Motor'!$B$3:$AZ$55,
       MATCH(K31,'WEG Motor'!$A$3:$A$55,0),
       MATCH(L31,'WEG Motor'!$B$2:$AZ$2,0))%</f>
        <v>0.92599999999999993</v>
      </c>
      <c r="N31" s="69">
        <v>0.92</v>
      </c>
      <c r="O31" s="70">
        <v>0.80959999999999999</v>
      </c>
      <c r="P31" s="117">
        <v>4</v>
      </c>
      <c r="Q31" s="72">
        <f>ROUNDUP(H31/(C26/10^3),2)</f>
        <v>348.4</v>
      </c>
      <c r="R31" s="303"/>
      <c r="S31" s="73"/>
      <c r="T31" s="84"/>
      <c r="U31" s="74">
        <f>R26*(C26/10^3)</f>
        <v>18.846</v>
      </c>
    </row>
    <row r="32" spans="1:29" x14ac:dyDescent="0.3">
      <c r="A32" s="298">
        <v>5</v>
      </c>
      <c r="B32" s="301">
        <v>500</v>
      </c>
      <c r="C32" s="304">
        <f t="shared" ref="C32" si="13" xml:space="preserve"> ROUND((B32 * $AA$6 * 1000) / ($X$5*$AA$2*$AA$3),0)</f>
        <v>60</v>
      </c>
      <c r="D32" s="50">
        <f>IFERROR(ROUNDUP((U32*$X$3*1000*$X$4*$X$2)/((C32/10^3)*$X$5*$AA$4),2),"")</f>
        <v>24.62</v>
      </c>
      <c r="E32" s="51">
        <v>24.5</v>
      </c>
      <c r="F32" s="52">
        <f>((($X$5*$AA$4*(C32*0.001)*E32)/1000)/O32)</f>
        <v>17.173945736748063</v>
      </c>
      <c r="G32" s="52">
        <f>F32/M32</f>
        <v>18.446773079213816</v>
      </c>
      <c r="H32" s="52">
        <f>G32/N32</f>
        <v>20.050840303493278</v>
      </c>
      <c r="I32" s="53" t="s">
        <v>14</v>
      </c>
      <c r="J32" s="53" t="s">
        <v>54</v>
      </c>
      <c r="K32" s="54">
        <v>22</v>
      </c>
      <c r="L32" s="54" t="s">
        <v>35</v>
      </c>
      <c r="M32" s="55">
        <f>INDEX('WEG Motor'!$B$3:$AZ$55,
       MATCH(K32,'WEG Motor'!$A$3:$A$55,0),
       MATCH(L32,'WEG Motor'!$B$2:$AZ$2,0))%</f>
        <v>0.93099999999999994</v>
      </c>
      <c r="N32" s="56">
        <v>0.92</v>
      </c>
      <c r="O32" s="57">
        <v>0.83950000000000002</v>
      </c>
      <c r="P32" s="58">
        <v>2.5070000000000001</v>
      </c>
      <c r="Q32" s="139">
        <f>ROUNDUP(H32/(C32/10^3),2)</f>
        <v>334.19</v>
      </c>
      <c r="R32" s="301">
        <v>349</v>
      </c>
      <c r="S32" s="60"/>
      <c r="T32" s="82"/>
      <c r="U32" s="61">
        <f>R32*(C32/10^3)</f>
        <v>20.939999999999998</v>
      </c>
      <c r="W32" s="1" t="s">
        <v>17</v>
      </c>
      <c r="X32" s="3">
        <v>0.92</v>
      </c>
      <c r="Z32" s="1" t="s">
        <v>23</v>
      </c>
      <c r="AA32" s="1">
        <v>7</v>
      </c>
      <c r="AC32" s="4" t="s">
        <v>38</v>
      </c>
    </row>
    <row r="33" spans="1:29" x14ac:dyDescent="0.3">
      <c r="A33" s="299"/>
      <c r="B33" s="302"/>
      <c r="C33" s="305"/>
      <c r="D33" s="18">
        <f>IFERROR(ROUNDUP((U33*$X$3*1000*$X$4*$X$2)/((C32/10^3)*$X$5*$AA$4),2),"")</f>
        <v>24.62</v>
      </c>
      <c r="E33" s="19">
        <v>25</v>
      </c>
      <c r="F33" s="21">
        <f>((($X$5*$AA$4*(C32*0.001)*E33)/1000)/O33)</f>
        <v>17.733561595949855</v>
      </c>
      <c r="G33" s="21">
        <f t="shared" ref="G33:G37" si="14">F33/M33</f>
        <v>19.047864227658277</v>
      </c>
      <c r="H33" s="21">
        <f t="shared" ref="H33:H37" si="15">G33/N33</f>
        <v>20.704200247454647</v>
      </c>
      <c r="I33" s="23" t="s">
        <v>15</v>
      </c>
      <c r="J33" s="23" t="s">
        <v>59</v>
      </c>
      <c r="K33" s="7">
        <v>22</v>
      </c>
      <c r="L33" s="7" t="s">
        <v>35</v>
      </c>
      <c r="M33" s="11">
        <f>INDEX('WEG Motor'!$B$3:$AZ$55,
       MATCH(K33,'WEG Motor'!$A$3:$A$55,0),
       MATCH(L33,'WEG Motor'!$B$2:$AZ$2,0))%</f>
        <v>0.93099999999999994</v>
      </c>
      <c r="N33" s="9">
        <v>0.92</v>
      </c>
      <c r="O33" s="6">
        <v>0.8296</v>
      </c>
      <c r="P33" s="8">
        <v>2.5070000000000001</v>
      </c>
      <c r="Q33" s="20">
        <f>ROUNDUP(H33/(C32/10^3),2)</f>
        <v>345.08</v>
      </c>
      <c r="R33" s="302"/>
      <c r="S33" s="5"/>
      <c r="T33" s="83"/>
      <c r="U33" s="62">
        <f>R32*(C32/10^3)</f>
        <v>20.939999999999998</v>
      </c>
      <c r="W33" s="1" t="s">
        <v>19</v>
      </c>
      <c r="X33" s="3">
        <v>0.94</v>
      </c>
      <c r="Z33" s="1" t="s">
        <v>24</v>
      </c>
      <c r="AA33" s="1">
        <v>4.1859999999999999</v>
      </c>
    </row>
    <row r="34" spans="1:29" x14ac:dyDescent="0.3">
      <c r="A34" s="299"/>
      <c r="B34" s="302"/>
      <c r="C34" s="305"/>
      <c r="D34" s="18">
        <f>IFERROR(ROUNDUP((U34*$X$3*1000*$X$4*$X$2)/((C32/10^3)*$X$5*$AA$4),2),"")</f>
        <v>24.62</v>
      </c>
      <c r="E34" s="19">
        <v>25</v>
      </c>
      <c r="F34" s="21">
        <f>((($X$5*$AA$4*(C32*0.001)*E34)/1000)/O34)</f>
        <v>17.733561595949855</v>
      </c>
      <c r="G34" s="21">
        <f t="shared" si="14"/>
        <v>19.047864227658277</v>
      </c>
      <c r="H34" s="21">
        <f t="shared" si="15"/>
        <v>20.704200247454647</v>
      </c>
      <c r="I34" s="24" t="s">
        <v>16</v>
      </c>
      <c r="J34" s="24" t="s">
        <v>53</v>
      </c>
      <c r="K34" s="7">
        <v>22</v>
      </c>
      <c r="L34" s="7" t="s">
        <v>35</v>
      </c>
      <c r="M34" s="11">
        <f>INDEX('WEG Motor'!$B$3:$AZ$55,
       MATCH(K34,'WEG Motor'!$A$3:$A$55,0),
       MATCH(L34,'WEG Motor'!$B$2:$AZ$2,0))%</f>
        <v>0.93099999999999994</v>
      </c>
      <c r="N34" s="9">
        <v>0.92</v>
      </c>
      <c r="O34" s="6">
        <v>0.8296</v>
      </c>
      <c r="P34" s="8">
        <v>2.5070000000000001</v>
      </c>
      <c r="Q34" s="20">
        <f>ROUNDUP(H34/(C32/10^3),2)</f>
        <v>345.08</v>
      </c>
      <c r="R34" s="302"/>
      <c r="S34" s="5"/>
      <c r="T34" s="83"/>
      <c r="U34" s="62">
        <f>R32*(C32/10^3)</f>
        <v>20.939999999999998</v>
      </c>
      <c r="V34" s="10"/>
      <c r="W34" s="1" t="s">
        <v>27</v>
      </c>
      <c r="X34" s="3">
        <v>0.8</v>
      </c>
      <c r="Z34" s="1" t="s">
        <v>28</v>
      </c>
      <c r="AA34" s="1">
        <v>9.81</v>
      </c>
      <c r="AC34" s="2" t="s">
        <v>20</v>
      </c>
    </row>
    <row r="35" spans="1:29" x14ac:dyDescent="0.3">
      <c r="A35" s="299"/>
      <c r="B35" s="302"/>
      <c r="C35" s="305"/>
      <c r="D35" s="18">
        <f>IFERROR(ROUNDUP((U35*$X$3*1000*$X$4*$X$2)/((C32/10^3)*$X$5*$AA$4),2),"")</f>
        <v>24.62</v>
      </c>
      <c r="E35" s="19">
        <v>24.5</v>
      </c>
      <c r="F35" s="21">
        <f>((($X$5*$AA$4*(C32*0.001)*E35)/1000)/O35)</f>
        <v>17.173945736748063</v>
      </c>
      <c r="G35" s="21">
        <f t="shared" si="14"/>
        <v>18.446773079213816</v>
      </c>
      <c r="H35" s="21">
        <f t="shared" si="15"/>
        <v>20.050840303493278</v>
      </c>
      <c r="I35" s="25" t="s">
        <v>30</v>
      </c>
      <c r="J35" s="25" t="s">
        <v>60</v>
      </c>
      <c r="K35" s="7">
        <v>22</v>
      </c>
      <c r="L35" s="7" t="s">
        <v>35</v>
      </c>
      <c r="M35" s="11">
        <f>INDEX('WEG Motor'!$B$3:$AZ$55,
       MATCH(K35,'WEG Motor'!$A$3:$A$55,0),
       MATCH(L35,'WEG Motor'!$B$2:$AZ$2,0))%</f>
        <v>0.93099999999999994</v>
      </c>
      <c r="N35" s="9">
        <v>0.92</v>
      </c>
      <c r="O35" s="6">
        <v>0.83950000000000002</v>
      </c>
      <c r="P35" s="8">
        <v>3.024</v>
      </c>
      <c r="Q35" s="138">
        <f>ROUNDUP(H35/(C32/10^3),2)</f>
        <v>334.19</v>
      </c>
      <c r="R35" s="302"/>
      <c r="S35" s="5"/>
      <c r="T35" s="83"/>
      <c r="U35" s="62">
        <f>R32*(C32/10^3)</f>
        <v>20.939999999999998</v>
      </c>
      <c r="V35" s="10"/>
      <c r="W35" s="1" t="s">
        <v>22</v>
      </c>
      <c r="X35" s="1">
        <v>999.78</v>
      </c>
      <c r="Z35" s="1" t="s">
        <v>25</v>
      </c>
      <c r="AA35" s="1" t="s">
        <v>26</v>
      </c>
      <c r="AC35" s="2"/>
    </row>
    <row r="36" spans="1:29" x14ac:dyDescent="0.3">
      <c r="A36" s="299"/>
      <c r="B36" s="302"/>
      <c r="C36" s="305"/>
      <c r="D36" s="18">
        <f>IFERROR(ROUNDUP((U36*$X$3*1000*$X$4*$X$2)/((C32/10^3)*$X$5*$AA$4),2),"")</f>
        <v>24.62</v>
      </c>
      <c r="E36" s="19">
        <v>25</v>
      </c>
      <c r="F36" s="21">
        <f>((($X$5*$AA$4*(C32*0.001)*E36)/1000)/O36)</f>
        <v>17.701555408494766</v>
      </c>
      <c r="G36" s="21">
        <f t="shared" si="14"/>
        <v>19.013485938232833</v>
      </c>
      <c r="H36" s="21">
        <f t="shared" si="15"/>
        <v>20.666832541557426</v>
      </c>
      <c r="I36" s="12" t="s">
        <v>18</v>
      </c>
      <c r="J36" s="12" t="s">
        <v>102</v>
      </c>
      <c r="K36" s="7">
        <v>22</v>
      </c>
      <c r="L36" s="7" t="s">
        <v>35</v>
      </c>
      <c r="M36" s="11">
        <f>INDEX('WEG Motor'!$B$3:$AZ$55,
       MATCH(K36,'WEG Motor'!$A$3:$A$55,0),
       MATCH(L36,'WEG Motor'!$B$2:$AZ$2,0))%</f>
        <v>0.93099999999999994</v>
      </c>
      <c r="N36" s="9">
        <v>0.92</v>
      </c>
      <c r="O36" s="6">
        <v>0.83109999999999995</v>
      </c>
      <c r="P36" s="76">
        <v>3.93</v>
      </c>
      <c r="Q36" s="20">
        <f>ROUNDUP(H36/(C32/10^3),2)</f>
        <v>344.45</v>
      </c>
      <c r="R36" s="302"/>
      <c r="S36" s="5"/>
      <c r="T36" s="83"/>
      <c r="U36" s="62">
        <f>R32*(C32/10^3)</f>
        <v>20.939999999999998</v>
      </c>
      <c r="V36" s="10"/>
      <c r="Z36" s="1">
        <v>1</v>
      </c>
      <c r="AA36" s="1">
        <v>3.5169999999999999</v>
      </c>
      <c r="AC36" s="2" t="s">
        <v>21</v>
      </c>
    </row>
    <row r="37" spans="1:29" ht="15" thickBot="1" x14ac:dyDescent="0.35">
      <c r="A37" s="300"/>
      <c r="B37" s="303"/>
      <c r="C37" s="306"/>
      <c r="D37" s="63">
        <f>IFERROR(ROUNDUP((U37*$X$3*1000*$X$4*$X$2)/((C32/10^3)*$X$5*$AA$4),2),"")</f>
        <v>24.62</v>
      </c>
      <c r="E37" s="64">
        <v>25</v>
      </c>
      <c r="F37" s="65">
        <f>((($X$5*$AA$4*(C32*0.001)*E37)/1000)/O37)</f>
        <v>17.701555408494766</v>
      </c>
      <c r="G37" s="65">
        <f t="shared" si="14"/>
        <v>19.013485938232833</v>
      </c>
      <c r="H37" s="65">
        <f t="shared" si="15"/>
        <v>20.666832541557426</v>
      </c>
      <c r="I37" s="66" t="s">
        <v>32</v>
      </c>
      <c r="J37" s="66" t="s">
        <v>103</v>
      </c>
      <c r="K37" s="67">
        <v>22</v>
      </c>
      <c r="L37" s="67" t="s">
        <v>35</v>
      </c>
      <c r="M37" s="68">
        <f>INDEX('WEG Motor'!$B$3:$AZ$55,
       MATCH(K37,'WEG Motor'!$A$3:$A$55,0),
       MATCH(L37,'WEG Motor'!$B$2:$AZ$2,0))%</f>
        <v>0.93099999999999994</v>
      </c>
      <c r="N37" s="69">
        <v>0.92</v>
      </c>
      <c r="O37" s="70">
        <v>0.83109999999999995</v>
      </c>
      <c r="P37" s="117">
        <v>3.93</v>
      </c>
      <c r="Q37" s="72">
        <f>ROUNDUP(H37/(C32/10^3),2)</f>
        <v>344.45</v>
      </c>
      <c r="R37" s="303"/>
      <c r="S37" s="73"/>
      <c r="T37" s="84"/>
      <c r="U37" s="74">
        <f>R32*(C32/10^3)</f>
        <v>20.939999999999998</v>
      </c>
    </row>
    <row r="38" spans="1:29" x14ac:dyDescent="0.3">
      <c r="A38" s="298">
        <v>6</v>
      </c>
      <c r="B38" s="301">
        <v>550</v>
      </c>
      <c r="C38" s="304">
        <f t="shared" ref="C38" si="16" xml:space="preserve"> ROUND((B38 * $AA$6 * 1000) / ($X$5*$AA$2*$AA$3),0)</f>
        <v>66</v>
      </c>
      <c r="D38" s="50">
        <f>IFERROR(ROUNDUP((U38*$X$3*1000*$X$4*$X$2)/((C38/10^3)*$X$5*$AA$4),2),"")</f>
        <v>24.62</v>
      </c>
      <c r="E38" s="51">
        <v>25.5</v>
      </c>
      <c r="F38" s="52">
        <f>((($X$5*$AA$4*(C38*0.001)*E38)/1000)/O38)</f>
        <v>19.474513626002832</v>
      </c>
      <c r="G38" s="52">
        <f>F38/M38</f>
        <v>20.917844925889188</v>
      </c>
      <c r="H38" s="52">
        <f>G38/N38</f>
        <v>22.736787962923028</v>
      </c>
      <c r="I38" s="99" t="s">
        <v>14</v>
      </c>
      <c r="J38" s="99" t="s">
        <v>114</v>
      </c>
      <c r="K38" s="101">
        <v>22</v>
      </c>
      <c r="L38" s="101" t="s">
        <v>35</v>
      </c>
      <c r="M38" s="102">
        <f>INDEX('WEG Motor'!$B$3:$AZ$55,
       MATCH(K38,'WEG Motor'!$A$3:$A$55,0),
       MATCH(L38,'WEG Motor'!$B$2:$AZ$2,0))%</f>
        <v>0.93099999999999994</v>
      </c>
      <c r="N38" s="103">
        <v>0.92</v>
      </c>
      <c r="O38" s="104">
        <v>0.84760000000000002</v>
      </c>
      <c r="P38" s="115">
        <v>2.5299999999999998</v>
      </c>
      <c r="Q38" s="106">
        <f>ROUNDUP(H38/(C38/10^3),2)</f>
        <v>344.5</v>
      </c>
      <c r="R38" s="301">
        <v>349</v>
      </c>
      <c r="S38" s="60"/>
      <c r="T38" s="132"/>
      <c r="U38" s="110">
        <f>R38*(C38/10^3)</f>
        <v>23.034000000000002</v>
      </c>
      <c r="W38" s="1" t="s">
        <v>17</v>
      </c>
      <c r="X38" s="3">
        <v>0.92</v>
      </c>
      <c r="Z38" s="1" t="s">
        <v>23</v>
      </c>
      <c r="AA38" s="1">
        <v>7</v>
      </c>
      <c r="AC38" s="4" t="s">
        <v>38</v>
      </c>
    </row>
    <row r="39" spans="1:29" x14ac:dyDescent="0.3">
      <c r="A39" s="299"/>
      <c r="B39" s="302"/>
      <c r="C39" s="305"/>
      <c r="D39" s="18">
        <f>IFERROR(ROUNDUP((U39*$X$3*1000*$X$4*$X$2)/((C38/10^3)*$X$5*$AA$4),2),"")</f>
        <v>24.62</v>
      </c>
      <c r="E39" s="19">
        <v>25</v>
      </c>
      <c r="F39" s="21">
        <f>((($X$5*$AA$4*(C38*0.001)*E39)/1000)/O39)</f>
        <v>19.427297683073231</v>
      </c>
      <c r="G39" s="21">
        <f t="shared" ref="G39:G43" si="17">F39/M39</f>
        <v>20.867129627361152</v>
      </c>
      <c r="H39" s="21">
        <f t="shared" ref="H39:H43" si="18">G39/N39</f>
        <v>22.681662638436034</v>
      </c>
      <c r="I39" s="23" t="s">
        <v>15</v>
      </c>
      <c r="J39" s="23" t="s">
        <v>59</v>
      </c>
      <c r="K39" s="7">
        <v>22</v>
      </c>
      <c r="L39" s="7" t="s">
        <v>35</v>
      </c>
      <c r="M39" s="11">
        <f>INDEX('WEG Motor'!$B$3:$AZ$55,
       MATCH(K39,'WEG Motor'!$A$3:$A$55,0),
       MATCH(L39,'WEG Motor'!$B$2:$AZ$2,0))%</f>
        <v>0.93099999999999994</v>
      </c>
      <c r="N39" s="9">
        <v>0.92</v>
      </c>
      <c r="O39" s="6">
        <v>0.83299999999999996</v>
      </c>
      <c r="P39" s="8">
        <v>2.5819999999999999</v>
      </c>
      <c r="Q39" s="20">
        <f>ROUNDUP(H39/(C38/10^3),2)</f>
        <v>343.67</v>
      </c>
      <c r="R39" s="302"/>
      <c r="S39" s="5"/>
      <c r="T39" s="83"/>
      <c r="U39" s="62">
        <f>R38*(C38/10^3)</f>
        <v>23.034000000000002</v>
      </c>
      <c r="W39" s="1" t="s">
        <v>19</v>
      </c>
      <c r="X39" s="3">
        <v>0.94</v>
      </c>
      <c r="Z39" s="1" t="s">
        <v>24</v>
      </c>
      <c r="AA39" s="1">
        <v>4.1859999999999999</v>
      </c>
    </row>
    <row r="40" spans="1:29" x14ac:dyDescent="0.3">
      <c r="A40" s="299"/>
      <c r="B40" s="302"/>
      <c r="C40" s="305"/>
      <c r="D40" s="18">
        <f>IFERROR(ROUNDUP((U40*$X$3*1000*$X$4*$X$2)/((C38/10^3)*$X$5*$AA$4),2),"")</f>
        <v>24.62</v>
      </c>
      <c r="E40" s="19">
        <v>24.5</v>
      </c>
      <c r="F40" s="21">
        <f>((($X$5*$AA$4*(C38*0.001)*E40)/1000)/O40)</f>
        <v>18.947766058064516</v>
      </c>
      <c r="G40" s="21">
        <f t="shared" si="17"/>
        <v>20.352058064516132</v>
      </c>
      <c r="H40" s="21">
        <f t="shared" si="18"/>
        <v>22.121802244039273</v>
      </c>
      <c r="I40" s="24" t="s">
        <v>16</v>
      </c>
      <c r="J40" s="24" t="s">
        <v>55</v>
      </c>
      <c r="K40" s="7">
        <v>22</v>
      </c>
      <c r="L40" s="7" t="s">
        <v>35</v>
      </c>
      <c r="M40" s="11">
        <f>INDEX('WEG Motor'!$B$3:$AZ$55,
       MATCH(K40,'WEG Motor'!$A$3:$A$55,0),
       MATCH(L40,'WEG Motor'!$B$2:$AZ$2,0))%</f>
        <v>0.93099999999999994</v>
      </c>
      <c r="N40" s="9">
        <v>0.92</v>
      </c>
      <c r="O40" s="6">
        <v>0.83699999999999997</v>
      </c>
      <c r="P40" s="8">
        <v>4.9660000000000002</v>
      </c>
      <c r="Q40" s="138">
        <f>ROUNDUP(H40/(C38/10^3),2)</f>
        <v>335.18</v>
      </c>
      <c r="R40" s="302"/>
      <c r="S40" s="5"/>
      <c r="T40" s="83"/>
      <c r="U40" s="62">
        <f>R38*(C38/10^3)</f>
        <v>23.034000000000002</v>
      </c>
      <c r="V40" s="10"/>
      <c r="W40" s="1" t="s">
        <v>27</v>
      </c>
      <c r="X40" s="3">
        <v>0.8</v>
      </c>
      <c r="Z40" s="1" t="s">
        <v>28</v>
      </c>
      <c r="AA40" s="1">
        <v>9.81</v>
      </c>
      <c r="AC40" s="2" t="s">
        <v>20</v>
      </c>
    </row>
    <row r="41" spans="1:29" x14ac:dyDescent="0.3">
      <c r="A41" s="299"/>
      <c r="B41" s="302"/>
      <c r="C41" s="305"/>
      <c r="D41" s="18">
        <f>IFERROR(ROUNDUP((U41*$X$3*1000*$X$4*$X$2)/((C38/10^3)*$X$5*$AA$4),2),"")</f>
        <v>24.62</v>
      </c>
      <c r="E41" s="19">
        <v>25.5</v>
      </c>
      <c r="F41" s="21">
        <f>((($X$5*$AA$4*(C38*0.001)*E41)/1000)/O41)</f>
        <v>19.481408886344859</v>
      </c>
      <c r="G41" s="21">
        <f t="shared" si="17"/>
        <v>20.925251220563759</v>
      </c>
      <c r="H41" s="21">
        <f t="shared" si="18"/>
        <v>22.744838283221476</v>
      </c>
      <c r="I41" s="98" t="s">
        <v>30</v>
      </c>
      <c r="J41" s="98" t="s">
        <v>115</v>
      </c>
      <c r="K41" s="89">
        <v>22</v>
      </c>
      <c r="L41" s="89" t="s">
        <v>35</v>
      </c>
      <c r="M41" s="90">
        <f>INDEX('WEG Motor'!$B$3:$AZ$55,
       MATCH(K41,'WEG Motor'!$A$3:$A$55,0),
       MATCH(L41,'WEG Motor'!$B$2:$AZ$2,0))%</f>
        <v>0.93099999999999994</v>
      </c>
      <c r="N41" s="91">
        <v>0.92</v>
      </c>
      <c r="O41" s="92">
        <v>0.84730000000000005</v>
      </c>
      <c r="P41" s="119">
        <v>2.54</v>
      </c>
      <c r="Q41" s="96">
        <f>ROUNDUP(H41/(C38/10^3),2)</f>
        <v>344.62</v>
      </c>
      <c r="R41" s="302"/>
      <c r="S41" s="5"/>
      <c r="T41" s="133"/>
      <c r="U41" s="111">
        <f>R38*(C38/10^3)</f>
        <v>23.034000000000002</v>
      </c>
      <c r="V41" s="10"/>
      <c r="W41" s="1" t="s">
        <v>22</v>
      </c>
      <c r="X41" s="1">
        <v>999.78</v>
      </c>
      <c r="Z41" s="1" t="s">
        <v>25</v>
      </c>
      <c r="AA41" s="1" t="s">
        <v>26</v>
      </c>
      <c r="AC41" s="2"/>
    </row>
    <row r="42" spans="1:29" x14ac:dyDescent="0.3">
      <c r="A42" s="299"/>
      <c r="B42" s="302"/>
      <c r="C42" s="305"/>
      <c r="D42" s="18">
        <f>IFERROR(ROUNDUP((U42*$X$3*1000*$X$4*$X$2)/((C38/10^3)*$X$5*$AA$4),2),"")</f>
        <v>24.62</v>
      </c>
      <c r="E42" s="19">
        <v>25</v>
      </c>
      <c r="F42" s="21">
        <f>((($X$5*$AA$4*(C38*0.001)*E42)/1000)/O42)</f>
        <v>19.554058687771875</v>
      </c>
      <c r="G42" s="21">
        <f t="shared" si="17"/>
        <v>21.003285378917159</v>
      </c>
      <c r="H42" s="21">
        <f t="shared" si="18"/>
        <v>22.829658020562128</v>
      </c>
      <c r="I42" s="12" t="s">
        <v>18</v>
      </c>
      <c r="J42" s="12" t="s">
        <v>102</v>
      </c>
      <c r="K42" s="7">
        <v>22</v>
      </c>
      <c r="L42" s="7" t="s">
        <v>35</v>
      </c>
      <c r="M42" s="11">
        <f>INDEX('WEG Motor'!$B$3:$AZ$55,
       MATCH(K42,'WEG Motor'!$A$3:$A$55,0),
       MATCH(L42,'WEG Motor'!$B$2:$AZ$2,0))%</f>
        <v>0.93099999999999994</v>
      </c>
      <c r="N42" s="9">
        <v>0.92</v>
      </c>
      <c r="O42" s="6">
        <v>0.8276</v>
      </c>
      <c r="P42" s="76">
        <v>4.0199999999999996</v>
      </c>
      <c r="Q42" s="20">
        <f>ROUNDUP(H42/(C38/10^3),2)</f>
        <v>345.90999999999997</v>
      </c>
      <c r="R42" s="302"/>
      <c r="S42" s="5"/>
      <c r="T42" s="83"/>
      <c r="U42" s="62">
        <f>R38*(C38/10^3)</f>
        <v>23.034000000000002</v>
      </c>
      <c r="V42" s="10"/>
      <c r="Z42" s="1">
        <v>1</v>
      </c>
      <c r="AA42" s="1">
        <v>3.5169999999999999</v>
      </c>
      <c r="AC42" s="2" t="s">
        <v>21</v>
      </c>
    </row>
    <row r="43" spans="1:29" ht="15" thickBot="1" x14ac:dyDescent="0.35">
      <c r="A43" s="300"/>
      <c r="B43" s="303"/>
      <c r="C43" s="306"/>
      <c r="D43" s="63">
        <f>IFERROR(ROUNDUP((U43*$X$3*1000*$X$4*$X$2)/((C38/10^3)*$X$5*$AA$4),2),"")</f>
        <v>24.62</v>
      </c>
      <c r="E43" s="64">
        <v>25</v>
      </c>
      <c r="F43" s="65">
        <f>((($X$5*$AA$4*(C38*0.001)*E43)/1000)/O43)</f>
        <v>19.554058687771875</v>
      </c>
      <c r="G43" s="65">
        <f t="shared" si="17"/>
        <v>21.003285378917159</v>
      </c>
      <c r="H43" s="65">
        <f t="shared" si="18"/>
        <v>22.829658020562128</v>
      </c>
      <c r="I43" s="66" t="s">
        <v>32</v>
      </c>
      <c r="J43" s="66" t="s">
        <v>103</v>
      </c>
      <c r="K43" s="67">
        <v>22</v>
      </c>
      <c r="L43" s="67" t="s">
        <v>35</v>
      </c>
      <c r="M43" s="68">
        <f>INDEX('WEG Motor'!$B$3:$AZ$55,
       MATCH(K43,'WEG Motor'!$A$3:$A$55,0),
       MATCH(L43,'WEG Motor'!$B$2:$AZ$2,0))%</f>
        <v>0.93099999999999994</v>
      </c>
      <c r="N43" s="69">
        <v>0.92</v>
      </c>
      <c r="O43" s="70">
        <v>0.8276</v>
      </c>
      <c r="P43" s="117">
        <v>4.0199999999999996</v>
      </c>
      <c r="Q43" s="72">
        <f>ROUNDUP(H43/(C38/10^3),2)</f>
        <v>345.90999999999997</v>
      </c>
      <c r="R43" s="303"/>
      <c r="S43" s="73"/>
      <c r="T43" s="84"/>
      <c r="U43" s="74">
        <f>R38*(C38/10^3)</f>
        <v>23.034000000000002</v>
      </c>
    </row>
    <row r="44" spans="1:29" x14ac:dyDescent="0.3">
      <c r="A44" s="298">
        <v>7</v>
      </c>
      <c r="B44" s="301">
        <v>600</v>
      </c>
      <c r="C44" s="304">
        <f t="shared" ref="C44" si="19" xml:space="preserve"> ROUND((B44 * $AA$6 * 1000) / ($X$5*$AA$2*$AA$3),0)</f>
        <v>72</v>
      </c>
      <c r="D44" s="50">
        <f>IFERROR(ROUNDUP((U44*$X$3*1000*$X$4*$X$2)/((C44/10^3)*$X$5*$AA$4),2),"")</f>
        <v>24.62</v>
      </c>
      <c r="E44" s="51">
        <v>25</v>
      </c>
      <c r="F44" s="52">
        <f>((($X$5*$AA$4*(C44*0.001)*E44)/1000)/O44)</f>
        <v>20.951952575361979</v>
      </c>
      <c r="G44" s="52">
        <f>F44/M44</f>
        <v>22.384564717267072</v>
      </c>
      <c r="H44" s="52">
        <f>G44/N44</f>
        <v>24.331048605725076</v>
      </c>
      <c r="I44" s="53" t="s">
        <v>14</v>
      </c>
      <c r="J44" s="53" t="s">
        <v>67</v>
      </c>
      <c r="K44" s="54">
        <v>30</v>
      </c>
      <c r="L44" s="54" t="s">
        <v>35</v>
      </c>
      <c r="M44" s="55">
        <f>INDEX('WEG Motor'!$B$3:$AZ$55,
       MATCH(K44,'WEG Motor'!$A$3:$A$55,0),
       MATCH(L44,'WEG Motor'!$B$2:$AZ$2,0))%</f>
        <v>0.93599999999999994</v>
      </c>
      <c r="N44" s="56">
        <v>0.92</v>
      </c>
      <c r="O44" s="57">
        <v>0.84260000000000002</v>
      </c>
      <c r="P44" s="58">
        <v>2.8319999999999999</v>
      </c>
      <c r="Q44" s="139">
        <f>ROUNDUP(H44/(C44/10^3),2)</f>
        <v>337.94</v>
      </c>
      <c r="R44" s="301">
        <v>349</v>
      </c>
      <c r="S44" s="60"/>
      <c r="T44" s="82"/>
      <c r="U44" s="61">
        <f>R44*(C44/10^3)</f>
        <v>25.127999999999997</v>
      </c>
      <c r="W44" s="1" t="s">
        <v>17</v>
      </c>
      <c r="X44" s="3">
        <v>0.92</v>
      </c>
      <c r="Z44" s="1" t="s">
        <v>23</v>
      </c>
      <c r="AA44" s="1">
        <v>7</v>
      </c>
      <c r="AC44" s="4" t="s">
        <v>38</v>
      </c>
    </row>
    <row r="45" spans="1:29" x14ac:dyDescent="0.3">
      <c r="A45" s="299"/>
      <c r="B45" s="302"/>
      <c r="C45" s="305"/>
      <c r="D45" s="18">
        <f>IFERROR(ROUNDUP((U45*$X$3*1000*$X$4*$X$2)/((C44/10^3)*$X$5*$AA$4),2),"")</f>
        <v>24.62</v>
      </c>
      <c r="E45" s="19">
        <v>24.5</v>
      </c>
      <c r="F45" s="21">
        <f>((($X$5*$AA$4*(C44*0.001)*E45)/1000)/O45)</f>
        <v>21.106542558497015</v>
      </c>
      <c r="G45" s="21">
        <f t="shared" ref="G45:G49" si="20">F45/M45</f>
        <v>22.549724955659205</v>
      </c>
      <c r="H45" s="21">
        <f t="shared" ref="H45:H49" si="21">G45/N45</f>
        <v>24.510570603977396</v>
      </c>
      <c r="I45" s="23" t="s">
        <v>15</v>
      </c>
      <c r="J45" s="23" t="s">
        <v>56</v>
      </c>
      <c r="K45" s="7">
        <v>30</v>
      </c>
      <c r="L45" s="7" t="s">
        <v>35</v>
      </c>
      <c r="M45" s="11">
        <f>INDEX('WEG Motor'!$B$3:$AZ$55,
       MATCH(K45,'WEG Motor'!$A$3:$A$55,0),
       MATCH(L45,'WEG Motor'!$B$2:$AZ$2,0))%</f>
        <v>0.93599999999999994</v>
      </c>
      <c r="N45" s="9">
        <v>0.92</v>
      </c>
      <c r="O45" s="6">
        <v>0.81969999999999998</v>
      </c>
      <c r="P45" s="8">
        <v>3.0539999999999998</v>
      </c>
      <c r="Q45" s="20">
        <f>ROUNDUP(H45/(C44/10^3),2)</f>
        <v>340.43</v>
      </c>
      <c r="R45" s="302"/>
      <c r="S45" s="5"/>
      <c r="T45" s="83"/>
      <c r="U45" s="62">
        <f>R44*(C44/10^3)</f>
        <v>25.127999999999997</v>
      </c>
      <c r="W45" s="1" t="s">
        <v>19</v>
      </c>
      <c r="X45" s="3">
        <v>0.94</v>
      </c>
      <c r="Z45" s="1" t="s">
        <v>24</v>
      </c>
      <c r="AA45" s="1">
        <v>4.1859999999999999</v>
      </c>
    </row>
    <row r="46" spans="1:29" x14ac:dyDescent="0.3">
      <c r="A46" s="299"/>
      <c r="B46" s="302"/>
      <c r="C46" s="305"/>
      <c r="D46" s="18">
        <f>IFERROR(ROUNDUP((U46*$X$3*1000*$X$4*$X$2)/((C44/10^3)*$X$5*$AA$4),2),"")</f>
        <v>24.62</v>
      </c>
      <c r="E46" s="19">
        <v>25</v>
      </c>
      <c r="F46" s="21">
        <f>((($X$5*$AA$4*(C44*0.001)*E46)/1000)/O46)</f>
        <v>21.550433642578128</v>
      </c>
      <c r="G46" s="21">
        <f t="shared" si="20"/>
        <v>23.023967566856975</v>
      </c>
      <c r="H46" s="21">
        <f t="shared" si="21"/>
        <v>25.026051703105406</v>
      </c>
      <c r="I46" s="24" t="s">
        <v>16</v>
      </c>
      <c r="J46" s="24" t="s">
        <v>66</v>
      </c>
      <c r="K46" s="7">
        <v>30</v>
      </c>
      <c r="L46" s="7" t="s">
        <v>35</v>
      </c>
      <c r="M46" s="11">
        <f>INDEX('WEG Motor'!$B$3:$AZ$55,
       MATCH(K46,'WEG Motor'!$A$3:$A$55,0),
       MATCH(L46,'WEG Motor'!$B$2:$AZ$2,0))%</f>
        <v>0.93599999999999994</v>
      </c>
      <c r="N46" s="9">
        <v>0.92</v>
      </c>
      <c r="O46" s="6">
        <v>0.81920000000000004</v>
      </c>
      <c r="P46" s="8">
        <v>3.0539999999999998</v>
      </c>
      <c r="Q46" s="20">
        <f>ROUNDUP(H46/(C44/10^3),2)</f>
        <v>347.59</v>
      </c>
      <c r="R46" s="302"/>
      <c r="S46" s="5"/>
      <c r="T46" s="83"/>
      <c r="U46" s="62">
        <f>R44*(C44/10^3)</f>
        <v>25.127999999999997</v>
      </c>
      <c r="V46" s="10"/>
      <c r="W46" s="1" t="s">
        <v>27</v>
      </c>
      <c r="X46" s="3">
        <v>0.8</v>
      </c>
      <c r="Z46" s="1" t="s">
        <v>28</v>
      </c>
      <c r="AA46" s="1">
        <v>9.81</v>
      </c>
      <c r="AC46" s="2" t="s">
        <v>20</v>
      </c>
    </row>
    <row r="47" spans="1:29" x14ac:dyDescent="0.3">
      <c r="A47" s="299"/>
      <c r="B47" s="302"/>
      <c r="C47" s="305"/>
      <c r="D47" s="18">
        <f>IFERROR(ROUNDUP((U47*$X$3*1000*$X$4*$X$2)/((C44/10^3)*$X$5*$AA$4),2),"")</f>
        <v>24.62</v>
      </c>
      <c r="E47" s="19">
        <v>24.5</v>
      </c>
      <c r="F47" s="21">
        <f>((($X$5*$AA$4*(C44*0.001)*E47)/1000)/O47)</f>
        <v>21.56698196858639</v>
      </c>
      <c r="G47" s="21">
        <f t="shared" si="20"/>
        <v>23.041647402335887</v>
      </c>
      <c r="H47" s="21">
        <f t="shared" si="21"/>
        <v>25.045268915582483</v>
      </c>
      <c r="I47" s="25" t="s">
        <v>30</v>
      </c>
      <c r="J47" s="25" t="s">
        <v>57</v>
      </c>
      <c r="K47" s="7">
        <v>30</v>
      </c>
      <c r="L47" s="7" t="s">
        <v>35</v>
      </c>
      <c r="M47" s="11">
        <f>INDEX('WEG Motor'!$B$3:$AZ$55,
       MATCH(K47,'WEG Motor'!$A$3:$A$55,0),
       MATCH(L47,'WEG Motor'!$B$2:$AZ$2,0))%</f>
        <v>0.93599999999999994</v>
      </c>
      <c r="N47" s="9">
        <v>0.92</v>
      </c>
      <c r="O47" s="6">
        <v>0.80220000000000002</v>
      </c>
      <c r="P47" s="8">
        <v>2.5529999999999999</v>
      </c>
      <c r="Q47" s="20">
        <f>ROUNDUP(H47/(C44/10^3),2)</f>
        <v>347.86</v>
      </c>
      <c r="R47" s="302"/>
      <c r="S47" s="5"/>
      <c r="T47" s="83"/>
      <c r="U47" s="62">
        <f>R44*(C44/10^3)</f>
        <v>25.127999999999997</v>
      </c>
      <c r="V47" s="10"/>
      <c r="W47" s="1" t="s">
        <v>22</v>
      </c>
      <c r="X47" s="1">
        <v>999.78</v>
      </c>
      <c r="Z47" s="1" t="s">
        <v>25</v>
      </c>
      <c r="AA47" s="1" t="s">
        <v>26</v>
      </c>
      <c r="AC47" s="2"/>
    </row>
    <row r="48" spans="1:29" x14ac:dyDescent="0.3">
      <c r="A48" s="299"/>
      <c r="B48" s="302"/>
      <c r="C48" s="305"/>
      <c r="D48" s="18">
        <f>IFERROR(ROUNDUP((U48*$X$3*1000*$X$4*$X$2)/((C44/10^3)*$X$5*$AA$4),2),"")</f>
        <v>24.62</v>
      </c>
      <c r="E48" s="19">
        <v>24.5</v>
      </c>
      <c r="F48" s="21">
        <f>((($X$5*$AA$4*(C44*0.001)*E48)/1000)/O48)</f>
        <v>21.283101162750651</v>
      </c>
      <c r="G48" s="21">
        <f t="shared" si="20"/>
        <v>22.738355943109671</v>
      </c>
      <c r="H48" s="21">
        <f t="shared" si="21"/>
        <v>24.715604285988771</v>
      </c>
      <c r="I48" s="12" t="s">
        <v>18</v>
      </c>
      <c r="J48" s="12" t="s">
        <v>102</v>
      </c>
      <c r="K48" s="7">
        <v>30</v>
      </c>
      <c r="L48" s="7" t="s">
        <v>35</v>
      </c>
      <c r="M48" s="11">
        <f>INDEX('WEG Motor'!$B$3:$AZ$55,
       MATCH(K48,'WEG Motor'!$A$3:$A$55,0),
       MATCH(L48,'WEG Motor'!$B$2:$AZ$2,0))%</f>
        <v>0.93599999999999994</v>
      </c>
      <c r="N48" s="9">
        <v>0.92</v>
      </c>
      <c r="O48" s="6">
        <v>0.81289999999999996</v>
      </c>
      <c r="P48" s="76">
        <v>4.12</v>
      </c>
      <c r="Q48" s="20">
        <f>ROUNDUP(H48/(C44/10^3),2)</f>
        <v>343.28</v>
      </c>
      <c r="R48" s="302"/>
      <c r="S48" s="5"/>
      <c r="T48" s="83"/>
      <c r="U48" s="62">
        <f>R44*(C44/10^3)</f>
        <v>25.127999999999997</v>
      </c>
      <c r="V48" s="10"/>
      <c r="Z48" s="1">
        <v>1</v>
      </c>
      <c r="AA48" s="1">
        <v>3.5169999999999999</v>
      </c>
      <c r="AC48" s="2" t="s">
        <v>21</v>
      </c>
    </row>
    <row r="49" spans="1:29" ht="15" thickBot="1" x14ac:dyDescent="0.35">
      <c r="A49" s="300"/>
      <c r="B49" s="303"/>
      <c r="C49" s="306"/>
      <c r="D49" s="63">
        <f>IFERROR(ROUNDUP((U49*$X$3*1000*$X$4*$X$2)/((C44/10^3)*$X$5*$AA$4),2),"")</f>
        <v>24.62</v>
      </c>
      <c r="E49" s="19">
        <v>24.5</v>
      </c>
      <c r="F49" s="65">
        <f>((($X$5*$AA$4*(C44*0.001)*E49)/1000)/O49)</f>
        <v>21.283101162750651</v>
      </c>
      <c r="G49" s="65">
        <f t="shared" si="20"/>
        <v>22.738355943109671</v>
      </c>
      <c r="H49" s="65">
        <f t="shared" si="21"/>
        <v>24.715604285988771</v>
      </c>
      <c r="I49" s="66" t="s">
        <v>32</v>
      </c>
      <c r="J49" s="66" t="s">
        <v>103</v>
      </c>
      <c r="K49" s="7">
        <v>30</v>
      </c>
      <c r="L49" s="7" t="s">
        <v>35</v>
      </c>
      <c r="M49" s="68">
        <f>INDEX('WEG Motor'!$B$3:$AZ$55,
       MATCH(K49,'WEG Motor'!$A$3:$A$55,0),
       MATCH(L49,'WEG Motor'!$B$2:$AZ$2,0))%</f>
        <v>0.93599999999999994</v>
      </c>
      <c r="N49" s="69">
        <v>0.92</v>
      </c>
      <c r="O49" s="6">
        <v>0.81289999999999996</v>
      </c>
      <c r="P49" s="76">
        <v>4.12</v>
      </c>
      <c r="Q49" s="72">
        <f>ROUNDUP(H49/(C44/10^3),2)</f>
        <v>343.28</v>
      </c>
      <c r="R49" s="303"/>
      <c r="S49" s="73"/>
      <c r="T49" s="84"/>
      <c r="U49" s="74">
        <f>R44*(C44/10^3)</f>
        <v>25.127999999999997</v>
      </c>
    </row>
    <row r="50" spans="1:29" x14ac:dyDescent="0.3">
      <c r="A50" s="298">
        <v>8</v>
      </c>
      <c r="B50" s="301">
        <v>650</v>
      </c>
      <c r="C50" s="304">
        <f t="shared" ref="C50" si="22" xml:space="preserve"> ROUND((B50 * $AA$6 * 1000) / ($X$5*$AA$2*$AA$3),0)</f>
        <v>78</v>
      </c>
      <c r="D50" s="50">
        <f>IFERROR(ROUNDUP((U50*$X$3*1000*$X$4*$X$2)/((C50/10^3)*$X$5*$AA$4),2),"")</f>
        <v>24.62</v>
      </c>
      <c r="E50" s="51">
        <v>25.5</v>
      </c>
      <c r="F50" s="52">
        <f>((($X$5*$AA$4*(C50*0.001)*E50)/1000)/O50)</f>
        <v>23.309591755526348</v>
      </c>
      <c r="G50" s="52">
        <f>F50/M50</f>
        <v>24.903409995220461</v>
      </c>
      <c r="H50" s="52">
        <f>G50/N50</f>
        <v>27.068923907848326</v>
      </c>
      <c r="I50" s="53" t="s">
        <v>14</v>
      </c>
      <c r="J50" s="53" t="s">
        <v>67</v>
      </c>
      <c r="K50" s="54">
        <v>30</v>
      </c>
      <c r="L50" s="54" t="s">
        <v>35</v>
      </c>
      <c r="M50" s="55">
        <f>INDEX('WEG Motor'!$B$3:$AZ$55,
       MATCH(K50,'WEG Motor'!$A$3:$A$55,0),
       MATCH(L50,'WEG Motor'!$B$2:$AZ$2,0))%</f>
        <v>0.93599999999999994</v>
      </c>
      <c r="N50" s="56">
        <v>0.92</v>
      </c>
      <c r="O50" s="57">
        <v>0.83689999999999998</v>
      </c>
      <c r="P50" s="58">
        <v>3.2759999999999998</v>
      </c>
      <c r="Q50" s="59">
        <f>ROUNDUP(H50/(C50/10^3),2)</f>
        <v>347.03999999999996</v>
      </c>
      <c r="R50" s="301">
        <v>349</v>
      </c>
      <c r="S50" s="60"/>
      <c r="T50" s="82"/>
      <c r="U50" s="61">
        <f>R50*(C50/10^3)</f>
        <v>27.222000000000001</v>
      </c>
      <c r="W50" s="1" t="s">
        <v>17</v>
      </c>
      <c r="X50" s="3">
        <v>0.92</v>
      </c>
      <c r="Z50" s="1" t="s">
        <v>23</v>
      </c>
      <c r="AA50" s="1">
        <v>7</v>
      </c>
      <c r="AC50" s="4" t="s">
        <v>38</v>
      </c>
    </row>
    <row r="51" spans="1:29" x14ac:dyDescent="0.3">
      <c r="A51" s="299"/>
      <c r="B51" s="302"/>
      <c r="C51" s="305"/>
      <c r="D51" s="18">
        <f>IFERROR(ROUNDUP((U51*$X$3*1000*$X$4*$X$2)/((C50/10^3)*$X$5*$AA$4),2),"")</f>
        <v>24.62</v>
      </c>
      <c r="E51" s="19">
        <v>25.5</v>
      </c>
      <c r="F51" s="21">
        <f>((($X$5*$AA$4*(C50*0.001)*E51)/1000)/O51)</f>
        <v>23.33747737791602</v>
      </c>
      <c r="G51" s="21">
        <f t="shared" ref="G51:G55" si="23">F51/M51</f>
        <v>24.933202326833356</v>
      </c>
      <c r="H51" s="21">
        <f t="shared" ref="H51:H55" si="24">G51/N51</f>
        <v>27.101306876992776</v>
      </c>
      <c r="I51" s="23" t="s">
        <v>15</v>
      </c>
      <c r="J51" s="23" t="s">
        <v>56</v>
      </c>
      <c r="K51" s="7">
        <v>30</v>
      </c>
      <c r="L51" s="7" t="s">
        <v>35</v>
      </c>
      <c r="M51" s="11">
        <f>INDEX('WEG Motor'!$B$3:$AZ$55,
       MATCH(K51,'WEG Motor'!$A$3:$A$55,0),
       MATCH(L51,'WEG Motor'!$B$2:$AZ$2,0))%</f>
        <v>0.93599999999999994</v>
      </c>
      <c r="N51" s="9">
        <v>0.92</v>
      </c>
      <c r="O51" s="6">
        <v>0.83589999999999998</v>
      </c>
      <c r="P51" s="8">
        <v>3.081</v>
      </c>
      <c r="Q51" s="20">
        <f>ROUNDUP(H51/(C50/10^3),2)</f>
        <v>347.46</v>
      </c>
      <c r="R51" s="302"/>
      <c r="S51" s="5"/>
      <c r="T51" s="83"/>
      <c r="U51" s="62">
        <f>R50*(C50/10^3)</f>
        <v>27.222000000000001</v>
      </c>
      <c r="W51" s="1" t="s">
        <v>19</v>
      </c>
      <c r="X51" s="3">
        <v>0.94</v>
      </c>
      <c r="Z51" s="1" t="s">
        <v>24</v>
      </c>
      <c r="AA51" s="1">
        <v>4.1859999999999999</v>
      </c>
    </row>
    <row r="52" spans="1:29" x14ac:dyDescent="0.3">
      <c r="A52" s="299"/>
      <c r="B52" s="302"/>
      <c r="C52" s="305"/>
      <c r="D52" s="18">
        <f>IFERROR(ROUNDUP((U52*$X$3*1000*$X$4*$X$2)/((C50/10^3)*$X$5*$AA$4),2),"")</f>
        <v>24.62</v>
      </c>
      <c r="E52" s="19">
        <v>25.5</v>
      </c>
      <c r="F52" s="21">
        <f>((($X$5*$AA$4*(C50*0.001)*E52)/1000)/O52)</f>
        <v>23.345856079703207</v>
      </c>
      <c r="G52" s="21">
        <f t="shared" si="23"/>
        <v>24.942153931306848</v>
      </c>
      <c r="H52" s="21">
        <f t="shared" si="24"/>
        <v>27.111036881855267</v>
      </c>
      <c r="I52" s="24" t="s">
        <v>16</v>
      </c>
      <c r="J52" s="24" t="s">
        <v>66</v>
      </c>
      <c r="K52" s="7">
        <v>30</v>
      </c>
      <c r="L52" s="7" t="s">
        <v>35</v>
      </c>
      <c r="M52" s="11">
        <f>INDEX('WEG Motor'!$B$3:$AZ$55,
       MATCH(K52,'WEG Motor'!$A$3:$A$55,0),
       MATCH(L52,'WEG Motor'!$B$2:$AZ$2,0))%</f>
        <v>0.93599999999999994</v>
      </c>
      <c r="N52" s="9">
        <v>0.92</v>
      </c>
      <c r="O52" s="6">
        <v>0.83560000000000001</v>
      </c>
      <c r="P52" s="8">
        <v>3.081</v>
      </c>
      <c r="Q52" s="20">
        <f>ROUNDUP(H52/(C50/10^3),2)</f>
        <v>347.58</v>
      </c>
      <c r="R52" s="302"/>
      <c r="S52" s="5"/>
      <c r="T52" s="83"/>
      <c r="U52" s="62">
        <f>R50*(C50/10^3)</f>
        <v>27.222000000000001</v>
      </c>
      <c r="V52" s="10"/>
      <c r="W52" s="1" t="s">
        <v>27</v>
      </c>
      <c r="X52" s="3">
        <v>0.8</v>
      </c>
      <c r="Z52" s="1" t="s">
        <v>28</v>
      </c>
      <c r="AA52" s="1">
        <v>9.81</v>
      </c>
      <c r="AC52" s="2" t="s">
        <v>20</v>
      </c>
    </row>
    <row r="53" spans="1:29" x14ac:dyDescent="0.3">
      <c r="A53" s="299"/>
      <c r="B53" s="302"/>
      <c r="C53" s="305"/>
      <c r="D53" s="18">
        <f>IFERROR(ROUNDUP((U53*$X$3*1000*$X$4*$X$2)/((C50/10^3)*$X$5*$AA$4),2),"")</f>
        <v>24.62</v>
      </c>
      <c r="E53" s="19">
        <v>25</v>
      </c>
      <c r="F53" s="21">
        <f>((($X$5*$AA$4*(C50*0.001)*E53)/1000)/O53)</f>
        <v>23.159713623153309</v>
      </c>
      <c r="G53" s="21">
        <f t="shared" si="23"/>
        <v>24.743283785420203</v>
      </c>
      <c r="H53" s="21">
        <f t="shared" si="24"/>
        <v>26.894873679804569</v>
      </c>
      <c r="I53" s="25" t="s">
        <v>30</v>
      </c>
      <c r="J53" s="25" t="s">
        <v>58</v>
      </c>
      <c r="K53" s="7">
        <v>30</v>
      </c>
      <c r="L53" s="7" t="s">
        <v>35</v>
      </c>
      <c r="M53" s="11">
        <f>INDEX('WEG Motor'!$B$3:$AZ$55,
       MATCH(K53,'WEG Motor'!$A$3:$A$55,0),
       MATCH(L53,'WEG Motor'!$B$2:$AZ$2,0))%</f>
        <v>0.93599999999999994</v>
      </c>
      <c r="N53" s="9">
        <v>0.92</v>
      </c>
      <c r="O53" s="6">
        <v>0.82579999999999998</v>
      </c>
      <c r="P53" s="8">
        <v>3.5219999999999998</v>
      </c>
      <c r="Q53" s="20">
        <f>ROUNDUP(H53/(C50/10^3),2)</f>
        <v>344.81</v>
      </c>
      <c r="R53" s="302"/>
      <c r="S53" s="5"/>
      <c r="T53" s="83"/>
      <c r="U53" s="62">
        <f>R50*(C50/10^3)</f>
        <v>27.222000000000001</v>
      </c>
      <c r="V53" s="10"/>
      <c r="W53" s="1" t="s">
        <v>22</v>
      </c>
      <c r="X53" s="1">
        <v>999.78</v>
      </c>
      <c r="Z53" s="1" t="s">
        <v>25</v>
      </c>
      <c r="AA53" s="1" t="s">
        <v>26</v>
      </c>
      <c r="AC53" s="2"/>
    </row>
    <row r="54" spans="1:29" x14ac:dyDescent="0.3">
      <c r="A54" s="299"/>
      <c r="B54" s="302"/>
      <c r="C54" s="305"/>
      <c r="D54" s="18">
        <f>IFERROR(ROUNDUP((U54*$X$3*1000*$X$4*$X$2)/((C50/10^3)*$X$5*$AA$4),2),"")</f>
        <v>24.62</v>
      </c>
      <c r="E54" s="19">
        <v>25</v>
      </c>
      <c r="F54" s="21">
        <f>((($X$5*$AA$4*(C50*0.001)*E54)/1000)/O54)</f>
        <v>23.446477271055535</v>
      </c>
      <c r="G54" s="21">
        <f t="shared" si="23"/>
        <v>25.049655204119162</v>
      </c>
      <c r="H54" s="21">
        <f t="shared" si="24"/>
        <v>27.22788609143387</v>
      </c>
      <c r="I54" s="12" t="s">
        <v>18</v>
      </c>
      <c r="J54" s="12" t="s">
        <v>104</v>
      </c>
      <c r="K54" s="7">
        <v>30</v>
      </c>
      <c r="L54" s="7" t="s">
        <v>35</v>
      </c>
      <c r="M54" s="11">
        <f>INDEX('WEG Motor'!$B$3:$AZ$55,
       MATCH(K54,'WEG Motor'!$A$3:$A$55,0),
       MATCH(L54,'WEG Motor'!$B$2:$AZ$2,0))%</f>
        <v>0.93599999999999994</v>
      </c>
      <c r="N54" s="9">
        <v>0.92</v>
      </c>
      <c r="O54" s="6">
        <v>0.81569999999999998</v>
      </c>
      <c r="P54" s="76">
        <v>3.5</v>
      </c>
      <c r="Q54" s="20">
        <f>ROUNDUP(H54/(C50/10^3),2)</f>
        <v>349.08</v>
      </c>
      <c r="R54" s="302"/>
      <c r="S54" s="5"/>
      <c r="T54" s="83"/>
      <c r="U54" s="62">
        <f>R50*(C50/10^3)</f>
        <v>27.222000000000001</v>
      </c>
      <c r="V54" s="10"/>
      <c r="Z54" s="1">
        <v>1</v>
      </c>
      <c r="AA54" s="1">
        <v>3.5169999999999999</v>
      </c>
      <c r="AC54" s="2" t="s">
        <v>21</v>
      </c>
    </row>
    <row r="55" spans="1:29" ht="15" thickBot="1" x14ac:dyDescent="0.35">
      <c r="A55" s="300"/>
      <c r="B55" s="303"/>
      <c r="C55" s="306"/>
      <c r="D55" s="63">
        <f>IFERROR(ROUNDUP((U55*$X$3*1000*$X$4*$X$2)/((C50/10^3)*$X$5*$AA$4),2),"")</f>
        <v>24.62</v>
      </c>
      <c r="E55" s="19">
        <v>25</v>
      </c>
      <c r="F55" s="65">
        <f>((($X$5*$AA$4*(C50*0.001)*E55)/1000)/O55)</f>
        <v>23.446477271055535</v>
      </c>
      <c r="G55" s="65">
        <f t="shared" si="23"/>
        <v>25.049655204119162</v>
      </c>
      <c r="H55" s="65">
        <f t="shared" si="24"/>
        <v>27.22788609143387</v>
      </c>
      <c r="I55" s="66" t="s">
        <v>32</v>
      </c>
      <c r="J55" s="66" t="s">
        <v>105</v>
      </c>
      <c r="K55" s="67">
        <v>30</v>
      </c>
      <c r="L55" s="67" t="s">
        <v>35</v>
      </c>
      <c r="M55" s="68">
        <f>INDEX('WEG Motor'!$B$3:$AZ$55,
       MATCH(K55,'WEG Motor'!$A$3:$A$55,0),
       MATCH(L55,'WEG Motor'!$B$2:$AZ$2,0))%</f>
        <v>0.93599999999999994</v>
      </c>
      <c r="N55" s="69">
        <v>0.92</v>
      </c>
      <c r="O55" s="6">
        <v>0.81569999999999998</v>
      </c>
      <c r="P55" s="76">
        <v>3.5</v>
      </c>
      <c r="Q55" s="72">
        <f>ROUNDUP(H55/(C50/10^3),2)</f>
        <v>349.08</v>
      </c>
      <c r="R55" s="303"/>
      <c r="S55" s="73"/>
      <c r="T55" s="84"/>
      <c r="U55" s="74">
        <f>R50*(C50/10^3)</f>
        <v>27.222000000000001</v>
      </c>
    </row>
    <row r="56" spans="1:29" x14ac:dyDescent="0.3">
      <c r="A56" s="298">
        <v>9</v>
      </c>
      <c r="B56" s="301">
        <v>700</v>
      </c>
      <c r="C56" s="304">
        <f t="shared" ref="C56" si="25" xml:space="preserve"> ROUND((B56 * $AA$6 * 1000) / ($X$5*$AA$2*$AA$3),0)</f>
        <v>84</v>
      </c>
      <c r="D56" s="50">
        <f>IFERROR(ROUNDUP((U56*$X$3*1000*$X$4*$X$2)/((C56/10^3)*$X$5*$AA$4),2),"")</f>
        <v>24.62</v>
      </c>
      <c r="E56" s="51">
        <v>25</v>
      </c>
      <c r="F56" s="52">
        <f>((($X$5*$AA$4*(C56*0.001)*E56)/1000)/O56)</f>
        <v>24.935191016949151</v>
      </c>
      <c r="G56" s="52">
        <f>F56/M56</f>
        <v>26.640161342894395</v>
      </c>
      <c r="H56" s="52">
        <f>G56/N56</f>
        <v>28.956697111841731</v>
      </c>
      <c r="I56" s="53" t="s">
        <v>14</v>
      </c>
      <c r="J56" s="53" t="s">
        <v>67</v>
      </c>
      <c r="K56" s="54">
        <v>30</v>
      </c>
      <c r="L56" s="54" t="s">
        <v>35</v>
      </c>
      <c r="M56" s="55">
        <f>INDEX('WEG Motor'!$B$3:$AZ$55,
       MATCH(K56,'WEG Motor'!$A$3:$A$55,0),
       MATCH(L56,'WEG Motor'!$B$2:$AZ$2,0))%</f>
        <v>0.93599999999999994</v>
      </c>
      <c r="N56" s="56">
        <v>0.92</v>
      </c>
      <c r="O56" s="57">
        <v>0.82599999999999996</v>
      </c>
      <c r="P56" s="58">
        <v>3.8220000000000001</v>
      </c>
      <c r="Q56" s="59">
        <f>ROUNDUP(H56/(C56/10^3),2)</f>
        <v>344.73</v>
      </c>
      <c r="R56" s="301">
        <v>349</v>
      </c>
      <c r="S56" s="60"/>
      <c r="T56" s="82"/>
      <c r="U56" s="61">
        <f>R56*(C56/10^3)</f>
        <v>29.316000000000003</v>
      </c>
      <c r="W56" s="1" t="s">
        <v>17</v>
      </c>
      <c r="X56" s="3">
        <v>0.92</v>
      </c>
      <c r="Z56" s="1" t="s">
        <v>23</v>
      </c>
      <c r="AA56" s="1">
        <v>7</v>
      </c>
      <c r="AC56" s="4" t="s">
        <v>38</v>
      </c>
    </row>
    <row r="57" spans="1:29" x14ac:dyDescent="0.3">
      <c r="A57" s="299"/>
      <c r="B57" s="302"/>
      <c r="C57" s="305"/>
      <c r="D57" s="18">
        <f>IFERROR(ROUNDUP((U57*$X$3*1000*$X$4*$X$2)/((C56/10^3)*$X$5*$AA$4),2),"")</f>
        <v>24.62</v>
      </c>
      <c r="E57" s="19">
        <v>25.5</v>
      </c>
      <c r="F57" s="21">
        <f>((($X$5*$AA$4*(C56*0.001)*E57)/1000)/O57)</f>
        <v>24.750703505655043</v>
      </c>
      <c r="G57" s="21">
        <f t="shared" ref="G57:G61" si="26">F57/M57</f>
        <v>26.443059300913507</v>
      </c>
      <c r="H57" s="21">
        <f t="shared" ref="H57:H61" si="27">G57/N57</f>
        <v>28.742455761862505</v>
      </c>
      <c r="I57" s="23" t="s">
        <v>15</v>
      </c>
      <c r="J57" s="23" t="s">
        <v>56</v>
      </c>
      <c r="K57" s="7">
        <v>30</v>
      </c>
      <c r="L57" s="7" t="s">
        <v>35</v>
      </c>
      <c r="M57" s="11">
        <f>INDEX('WEG Motor'!$B$3:$AZ$55,
       MATCH(K57,'WEG Motor'!$A$3:$A$55,0),
       MATCH(L57,'WEG Motor'!$B$2:$AZ$2,0))%</f>
        <v>0.93599999999999994</v>
      </c>
      <c r="N57" s="9">
        <v>0.92</v>
      </c>
      <c r="O57" s="6">
        <v>0.8488</v>
      </c>
      <c r="P57" s="8">
        <v>3.1179999999999999</v>
      </c>
      <c r="Q57" s="20">
        <f>ROUNDUP(H57/(C56/10^3),2)</f>
        <v>342.18</v>
      </c>
      <c r="R57" s="302"/>
      <c r="S57" s="5"/>
      <c r="T57" s="83"/>
      <c r="U57" s="62">
        <f>R56*(C56/10^3)</f>
        <v>29.316000000000003</v>
      </c>
      <c r="W57" s="1" t="s">
        <v>19</v>
      </c>
      <c r="X57" s="3">
        <v>0.94</v>
      </c>
      <c r="Z57" s="1" t="s">
        <v>24</v>
      </c>
      <c r="AA57" s="1">
        <v>4.1859999999999999</v>
      </c>
    </row>
    <row r="58" spans="1:29" x14ac:dyDescent="0.3">
      <c r="A58" s="299"/>
      <c r="B58" s="302"/>
      <c r="C58" s="305"/>
      <c r="D58" s="18">
        <f>IFERROR(ROUNDUP((U58*$X$3*1000*$X$4*$X$2)/((C56/10^3)*$X$5*$AA$4),2),"")</f>
        <v>24.62</v>
      </c>
      <c r="E58" s="19">
        <v>25.5</v>
      </c>
      <c r="F58" s="21">
        <f>((($X$5*$AA$4*(C56*0.001)*E58)/1000)/O58)</f>
        <v>24.750703505655043</v>
      </c>
      <c r="G58" s="21">
        <f t="shared" si="26"/>
        <v>26.443059300913507</v>
      </c>
      <c r="H58" s="21">
        <f t="shared" si="27"/>
        <v>28.742455761862505</v>
      </c>
      <c r="I58" s="24" t="s">
        <v>16</v>
      </c>
      <c r="J58" s="24" t="s">
        <v>66</v>
      </c>
      <c r="K58" s="7">
        <v>30</v>
      </c>
      <c r="L58" s="7" t="s">
        <v>35</v>
      </c>
      <c r="M58" s="11">
        <f>INDEX('WEG Motor'!$B$3:$AZ$55,
       MATCH(K58,'WEG Motor'!$A$3:$A$55,0),
       MATCH(L58,'WEG Motor'!$B$2:$AZ$2,0))%</f>
        <v>0.93599999999999994</v>
      </c>
      <c r="N58" s="9">
        <v>0.92</v>
      </c>
      <c r="O58" s="6">
        <v>0.8488</v>
      </c>
      <c r="P58" s="8">
        <v>3.1179999999999999</v>
      </c>
      <c r="Q58" s="20">
        <f>ROUNDUP(H58/(C56/10^3),2)</f>
        <v>342.18</v>
      </c>
      <c r="R58" s="302"/>
      <c r="S58" s="5"/>
      <c r="T58" s="83"/>
      <c r="U58" s="62">
        <f>R56*(C56/10^3)</f>
        <v>29.316000000000003</v>
      </c>
      <c r="V58" s="10"/>
      <c r="W58" s="1" t="s">
        <v>27</v>
      </c>
      <c r="X58" s="3">
        <v>0.8</v>
      </c>
      <c r="Z58" s="1" t="s">
        <v>28</v>
      </c>
      <c r="AA58" s="1">
        <v>9.81</v>
      </c>
      <c r="AC58" s="2" t="s">
        <v>20</v>
      </c>
    </row>
    <row r="59" spans="1:29" x14ac:dyDescent="0.3">
      <c r="A59" s="299"/>
      <c r="B59" s="302"/>
      <c r="C59" s="305"/>
      <c r="D59" s="18">
        <f>IFERROR(ROUNDUP((U59*$X$3*1000*$X$4*$X$2)/((C56/10^3)*$X$5*$AA$4),2),"")</f>
        <v>24.62</v>
      </c>
      <c r="E59" s="19">
        <v>25</v>
      </c>
      <c r="F59" s="21">
        <f>((($X$5*$AA$4*(C56*0.001)*E59)/1000)/O59)</f>
        <v>24.761322168790571</v>
      </c>
      <c r="G59" s="21">
        <f t="shared" si="26"/>
        <v>26.454404026485655</v>
      </c>
      <c r="H59" s="21">
        <f t="shared" si="27"/>
        <v>28.754786985310492</v>
      </c>
      <c r="I59" s="25" t="s">
        <v>30</v>
      </c>
      <c r="J59" s="25" t="s">
        <v>57</v>
      </c>
      <c r="K59" s="7">
        <v>30</v>
      </c>
      <c r="L59" s="7" t="s">
        <v>35</v>
      </c>
      <c r="M59" s="11">
        <f>INDEX('WEG Motor'!$B$3:$AZ$55,
       MATCH(K59,'WEG Motor'!$A$3:$A$55,0),
       MATCH(L59,'WEG Motor'!$B$2:$AZ$2,0))%</f>
        <v>0.93599999999999994</v>
      </c>
      <c r="N59" s="9">
        <v>0.92</v>
      </c>
      <c r="O59" s="6">
        <v>0.83179999999999998</v>
      </c>
      <c r="P59" s="8">
        <v>2.8820000000000001</v>
      </c>
      <c r="Q59" s="20">
        <f>ROUNDUP(H59/(C56/10^3),2)</f>
        <v>342.32</v>
      </c>
      <c r="R59" s="302"/>
      <c r="S59" s="5"/>
      <c r="T59" s="83"/>
      <c r="U59" s="62">
        <f>R56*(C56/10^3)</f>
        <v>29.316000000000003</v>
      </c>
      <c r="V59" s="10"/>
      <c r="W59" s="1" t="s">
        <v>22</v>
      </c>
      <c r="X59" s="1">
        <v>999.78</v>
      </c>
      <c r="Z59" s="1" t="s">
        <v>25</v>
      </c>
      <c r="AA59" s="1" t="s">
        <v>26</v>
      </c>
      <c r="AC59" s="2"/>
    </row>
    <row r="60" spans="1:29" x14ac:dyDescent="0.3">
      <c r="A60" s="299"/>
      <c r="B60" s="302"/>
      <c r="C60" s="305"/>
      <c r="D60" s="18">
        <f>IFERROR(ROUNDUP((U60*$X$3*1000*$X$4*$X$2)/((C56/10^3)*$X$5*$AA$4),2),"")</f>
        <v>24.62</v>
      </c>
      <c r="E60" s="19">
        <v>25.5</v>
      </c>
      <c r="F60" s="21">
        <f>((($X$5*$AA$4*(C56*0.001)*E60)/1000)/O60)</f>
        <v>25.244408958904106</v>
      </c>
      <c r="G60" s="21">
        <f t="shared" si="26"/>
        <v>26.970522391991569</v>
      </c>
      <c r="H60" s="21">
        <f t="shared" si="27"/>
        <v>29.315785208686485</v>
      </c>
      <c r="I60" s="12" t="s">
        <v>18</v>
      </c>
      <c r="J60" s="12" t="s">
        <v>104</v>
      </c>
      <c r="K60" s="7">
        <v>30</v>
      </c>
      <c r="L60" s="7" t="s">
        <v>35</v>
      </c>
      <c r="M60" s="11">
        <f>INDEX('WEG Motor'!$B$3:$AZ$55,
       MATCH(K60,'WEG Motor'!$A$3:$A$55,0),
       MATCH(L60,'WEG Motor'!$B$2:$AZ$2,0))%</f>
        <v>0.93599999999999994</v>
      </c>
      <c r="N60" s="9">
        <v>0.92</v>
      </c>
      <c r="O60" s="6">
        <v>0.83220000000000005</v>
      </c>
      <c r="P60" s="76">
        <v>3.49</v>
      </c>
      <c r="Q60" s="37">
        <f>ROUNDUP(H60/(C56/10^3),2)</f>
        <v>349</v>
      </c>
      <c r="R60" s="302"/>
      <c r="S60" s="5"/>
      <c r="T60" s="83"/>
      <c r="U60" s="62">
        <f>R56*(C56/10^3)</f>
        <v>29.316000000000003</v>
      </c>
      <c r="V60" s="10"/>
      <c r="Z60" s="1">
        <v>1</v>
      </c>
      <c r="AA60" s="1">
        <v>3.5169999999999999</v>
      </c>
      <c r="AC60" s="2" t="s">
        <v>21</v>
      </c>
    </row>
    <row r="61" spans="1:29" ht="15" thickBot="1" x14ac:dyDescent="0.35">
      <c r="A61" s="300"/>
      <c r="B61" s="303"/>
      <c r="C61" s="306"/>
      <c r="D61" s="63">
        <f>IFERROR(ROUNDUP((U61*$X$3*1000*$X$4*$X$2)/((C56/10^3)*$X$5*$AA$4),2),"")</f>
        <v>24.62</v>
      </c>
      <c r="E61" s="64">
        <v>25.5</v>
      </c>
      <c r="F61" s="65">
        <f>((($X$5*$AA$4*(C56*0.001)*E61)/1000)/O61)</f>
        <v>25.244408958904106</v>
      </c>
      <c r="G61" s="65">
        <f t="shared" si="26"/>
        <v>26.970522391991569</v>
      </c>
      <c r="H61" s="65">
        <f t="shared" si="27"/>
        <v>29.315785208686485</v>
      </c>
      <c r="I61" s="66" t="s">
        <v>32</v>
      </c>
      <c r="J61" s="66" t="s">
        <v>105</v>
      </c>
      <c r="K61" s="67">
        <v>30</v>
      </c>
      <c r="L61" s="67" t="s">
        <v>35</v>
      </c>
      <c r="M61" s="68">
        <f>INDEX('WEG Motor'!$B$3:$AZ$55,
       MATCH(K61,'WEG Motor'!$A$3:$A$55,0),
       MATCH(L61,'WEG Motor'!$B$2:$AZ$2,0))%</f>
        <v>0.93599999999999994</v>
      </c>
      <c r="N61" s="69">
        <v>0.92</v>
      </c>
      <c r="O61" s="70">
        <v>0.83220000000000005</v>
      </c>
      <c r="P61" s="117">
        <v>3.49</v>
      </c>
      <c r="Q61" s="121">
        <f>ROUNDUP(H61/(C56/10^3),2)</f>
        <v>349</v>
      </c>
      <c r="R61" s="303"/>
      <c r="S61" s="73"/>
      <c r="T61" s="84"/>
      <c r="U61" s="74">
        <f>R56*(C56/10^3)</f>
        <v>29.316000000000003</v>
      </c>
    </row>
    <row r="62" spans="1:29" ht="29.4" thickBot="1" x14ac:dyDescent="0.35">
      <c r="A62" s="298">
        <v>10</v>
      </c>
      <c r="B62" s="301">
        <v>750</v>
      </c>
      <c r="C62" s="304">
        <f t="shared" ref="C62" si="28" xml:space="preserve"> ROUND((B62 * $AA$6 * 1000) / ($X$5*$AA$2*$AA$3),0)</f>
        <v>90</v>
      </c>
      <c r="D62" s="50">
        <f>IFERROR(ROUNDUP((U62*$X$3*1000*$X$4*$X$2)/((C62/10^3)*$X$5*$AA$4),2),"")</f>
        <v>24.62</v>
      </c>
      <c r="E62" s="51">
        <v>25.5</v>
      </c>
      <c r="F62" s="52">
        <f>((($X$5*$AA$4*(C62*0.001)*E62)/1000)/O62)</f>
        <v>26.688400439886173</v>
      </c>
      <c r="G62" s="52">
        <f>F62/M62</f>
        <v>28.422151693169511</v>
      </c>
      <c r="H62" s="52">
        <f>G62/N62</f>
        <v>30.893643144749468</v>
      </c>
      <c r="I62" s="99" t="s">
        <v>14</v>
      </c>
      <c r="J62" s="99" t="s">
        <v>69</v>
      </c>
      <c r="K62" s="100">
        <v>37</v>
      </c>
      <c r="L62" s="101" t="s">
        <v>35</v>
      </c>
      <c r="M62" s="102">
        <f>INDEX('WEG Motor'!$B$3:$AZ$55,
       MATCH(K62,'WEG Motor'!$A$3:$A$55,0),
       MATCH(L62,'WEG Motor'!$B$2:$AZ$2,0))%</f>
        <v>0.93900000000000006</v>
      </c>
      <c r="N62" s="103">
        <v>0.92</v>
      </c>
      <c r="O62" s="104">
        <v>0.84340000000000004</v>
      </c>
      <c r="P62" s="105">
        <v>2.9910000000000001</v>
      </c>
      <c r="Q62" s="106">
        <f>ROUNDUP(H62/(C62/10^3),2)</f>
        <v>343.27</v>
      </c>
      <c r="R62" s="301">
        <v>349</v>
      </c>
      <c r="S62" s="60"/>
      <c r="T62" s="82" t="s">
        <v>82</v>
      </c>
      <c r="U62" s="110">
        <f>R62*(C62/10^3)</f>
        <v>31.41</v>
      </c>
      <c r="W62" s="1" t="s">
        <v>17</v>
      </c>
      <c r="X62" s="3">
        <v>0.92</v>
      </c>
      <c r="Z62" s="1" t="s">
        <v>23</v>
      </c>
      <c r="AA62" s="1">
        <v>7</v>
      </c>
      <c r="AC62" s="4" t="s">
        <v>38</v>
      </c>
    </row>
    <row r="63" spans="1:29" ht="15" thickBot="1" x14ac:dyDescent="0.35">
      <c r="A63" s="299"/>
      <c r="B63" s="302"/>
      <c r="C63" s="305"/>
      <c r="D63" s="18">
        <f>IFERROR(ROUNDUP((U63*$X$3*1000*$X$4*$X$2)/((C62/10^3)*$X$5*$AA$4),2),"")</f>
        <v>24.62</v>
      </c>
      <c r="E63" s="19">
        <v>26</v>
      </c>
      <c r="F63" s="21">
        <f>((($X$5*$AA$4*(C62*0.001)*E63)/1000)/O63)</f>
        <v>26.754896027045927</v>
      </c>
      <c r="G63" s="21">
        <f t="shared" ref="G63:G67" si="29">F63/M63</f>
        <v>28.584290627185823</v>
      </c>
      <c r="H63" s="21">
        <f t="shared" ref="H63:H67" si="30">G63/N63</f>
        <v>31.069881116506327</v>
      </c>
      <c r="I63" s="23" t="s">
        <v>15</v>
      </c>
      <c r="J63" s="23" t="s">
        <v>56</v>
      </c>
      <c r="K63" s="7">
        <v>30</v>
      </c>
      <c r="L63" s="7" t="s">
        <v>35</v>
      </c>
      <c r="M63" s="11">
        <f>INDEX('WEG Motor'!$B$3:$AZ$55,
       MATCH(K63,'WEG Motor'!$A$3:$A$55,0),
       MATCH(L63,'WEG Motor'!$B$2:$AZ$2,0))%</f>
        <v>0.93599999999999994</v>
      </c>
      <c r="N63" s="56">
        <v>0.92</v>
      </c>
      <c r="O63" s="6">
        <v>0.85780000000000001</v>
      </c>
      <c r="P63" s="76">
        <v>3.17</v>
      </c>
      <c r="Q63" s="20">
        <f>ROUNDUP(H63/(C62/10^3),2)</f>
        <v>345.23</v>
      </c>
      <c r="R63" s="302"/>
      <c r="S63" s="5"/>
      <c r="T63" s="83"/>
      <c r="U63" s="62">
        <f>R62*(C62/10^3)</f>
        <v>31.41</v>
      </c>
      <c r="W63" s="1" t="s">
        <v>19</v>
      </c>
      <c r="X63" s="3">
        <v>0.94</v>
      </c>
      <c r="Z63" s="1" t="s">
        <v>24</v>
      </c>
      <c r="AA63" s="1">
        <v>4.1859999999999999</v>
      </c>
    </row>
    <row r="64" spans="1:29" x14ac:dyDescent="0.3">
      <c r="A64" s="299"/>
      <c r="B64" s="302"/>
      <c r="C64" s="305"/>
      <c r="D64" s="18">
        <f>IFERROR(ROUNDUP((U64*$X$3*1000*$X$4*$X$2)/((C62/10^3)*$X$5*$AA$4),2),"")</f>
        <v>24.62</v>
      </c>
      <c r="E64" s="19">
        <v>25.5</v>
      </c>
      <c r="F64" s="21">
        <f>((($X$5*$AA$4*(C62*0.001)*E64)/1000)/O64)</f>
        <v>26.225092544564838</v>
      </c>
      <c r="G64" s="21">
        <f t="shared" si="29"/>
        <v>28.018261265560724</v>
      </c>
      <c r="H64" s="21">
        <f t="shared" si="30"/>
        <v>30.45463181039209</v>
      </c>
      <c r="I64" s="24" t="s">
        <v>16</v>
      </c>
      <c r="J64" s="24" t="s">
        <v>66</v>
      </c>
      <c r="K64" s="7">
        <v>30</v>
      </c>
      <c r="L64" s="7" t="s">
        <v>35</v>
      </c>
      <c r="M64" s="11">
        <f>INDEX('WEG Motor'!$B$3:$AZ$55,
       MATCH(K64,'WEG Motor'!$A$3:$A$55,0),
       MATCH(L64,'WEG Motor'!$B$2:$AZ$2,0))%</f>
        <v>0.93599999999999994</v>
      </c>
      <c r="N64" s="56">
        <v>0.92</v>
      </c>
      <c r="O64" s="6">
        <v>0.85829999999999995</v>
      </c>
      <c r="P64" s="76">
        <v>3.17</v>
      </c>
      <c r="Q64" s="20">
        <f>ROUNDUP(H64/(C62/10^3),2)</f>
        <v>338.39</v>
      </c>
      <c r="R64" s="302"/>
      <c r="S64" s="5"/>
      <c r="T64" s="83"/>
      <c r="U64" s="62">
        <f>R62*(C62/10^3)</f>
        <v>31.41</v>
      </c>
      <c r="V64" s="10"/>
      <c r="W64" s="1" t="s">
        <v>27</v>
      </c>
      <c r="X64" s="3">
        <v>0.8</v>
      </c>
      <c r="Z64" s="1" t="s">
        <v>28</v>
      </c>
      <c r="AA64" s="1">
        <v>9.81</v>
      </c>
      <c r="AC64" s="2" t="s">
        <v>20</v>
      </c>
    </row>
    <row r="65" spans="1:29" x14ac:dyDescent="0.3">
      <c r="A65" s="299"/>
      <c r="B65" s="302"/>
      <c r="C65" s="305"/>
      <c r="D65" s="18">
        <f>IFERROR(ROUNDUP((U65*$X$3*1000*$X$4*$X$2)/((C62/10^3)*$X$5*$AA$4),2),"")</f>
        <v>24.62</v>
      </c>
      <c r="E65" s="19">
        <v>25.5</v>
      </c>
      <c r="F65" s="21">
        <f>((($X$5*$AA$4*(C62*0.001)*E65)/1000)/O65)</f>
        <v>26.805998488745978</v>
      </c>
      <c r="G65" s="21">
        <f t="shared" si="29"/>
        <v>28.638887274301261</v>
      </c>
      <c r="H65" s="21">
        <f t="shared" si="30"/>
        <v>31.129225298153543</v>
      </c>
      <c r="I65" s="25" t="s">
        <v>30</v>
      </c>
      <c r="J65" s="25" t="s">
        <v>57</v>
      </c>
      <c r="K65" s="7">
        <v>30</v>
      </c>
      <c r="L65" s="7" t="s">
        <v>35</v>
      </c>
      <c r="M65" s="11">
        <f>INDEX('WEG Motor'!$B$3:$AZ$55,
       MATCH(K65,'WEG Motor'!$A$3:$A$55,0),
       MATCH(L65,'WEG Motor'!$B$2:$AZ$2,0))%</f>
        <v>0.93599999999999994</v>
      </c>
      <c r="N65" s="9">
        <v>0.92</v>
      </c>
      <c r="O65" s="6">
        <v>0.8397</v>
      </c>
      <c r="P65" s="76">
        <v>3.08</v>
      </c>
      <c r="Q65" s="20">
        <f>ROUNDUP(H65/(C62/10^3),2)</f>
        <v>345.89</v>
      </c>
      <c r="R65" s="302"/>
      <c r="S65" s="5"/>
      <c r="T65" s="83"/>
      <c r="U65" s="62">
        <f>R62*(C62/10^3)</f>
        <v>31.41</v>
      </c>
      <c r="V65" s="10"/>
      <c r="W65" s="1" t="s">
        <v>22</v>
      </c>
      <c r="X65" s="1">
        <v>999.78</v>
      </c>
      <c r="Z65" s="1" t="s">
        <v>25</v>
      </c>
      <c r="AA65" s="1" t="s">
        <v>26</v>
      </c>
      <c r="AC65" s="2"/>
    </row>
    <row r="66" spans="1:29" x14ac:dyDescent="0.3">
      <c r="A66" s="299"/>
      <c r="B66" s="302"/>
      <c r="C66" s="305"/>
      <c r="D66" s="18">
        <f>IFERROR(ROUNDUP((U66*$X$3*1000*$X$4*$X$2)/((C62/10^3)*$X$5*$AA$4),2),"")</f>
        <v>24.62</v>
      </c>
      <c r="E66" s="19">
        <v>25</v>
      </c>
      <c r="F66" s="21">
        <f>((($X$5*$AA$4*(C62*0.001)*E66)/1000)/O66)</f>
        <v>27.013886705839148</v>
      </c>
      <c r="G66" s="21">
        <f t="shared" si="29"/>
        <v>28.860990070340971</v>
      </c>
      <c r="H66" s="21">
        <f t="shared" si="30"/>
        <v>31.370641380805402</v>
      </c>
      <c r="I66" s="12" t="s">
        <v>18</v>
      </c>
      <c r="J66" s="12" t="s">
        <v>106</v>
      </c>
      <c r="K66" s="7">
        <v>30</v>
      </c>
      <c r="L66" s="7" t="s">
        <v>35</v>
      </c>
      <c r="M66" s="11">
        <f>INDEX('WEG Motor'!$B$3:$AZ$55,
       MATCH(K66,'WEG Motor'!$A$3:$A$55,0),
       MATCH(L66,'WEG Motor'!$B$2:$AZ$2,0))%</f>
        <v>0.93599999999999994</v>
      </c>
      <c r="N66" s="9">
        <v>0.92</v>
      </c>
      <c r="O66" s="6">
        <v>0.81689999999999996</v>
      </c>
      <c r="P66" s="76">
        <v>3.52</v>
      </c>
      <c r="Q66" s="20">
        <f>ROUNDUP(H66/(C62/10^3),2)</f>
        <v>348.57</v>
      </c>
      <c r="R66" s="302"/>
      <c r="S66" s="5"/>
      <c r="T66" s="83"/>
      <c r="U66" s="62">
        <f>R62*(C62/10^3)</f>
        <v>31.41</v>
      </c>
      <c r="V66" s="10"/>
      <c r="Z66" s="1">
        <v>1</v>
      </c>
      <c r="AA66" s="1">
        <v>3.5169999999999999</v>
      </c>
      <c r="AC66" s="2" t="s">
        <v>21</v>
      </c>
    </row>
    <row r="67" spans="1:29" ht="15" thickBot="1" x14ac:dyDescent="0.35">
      <c r="A67" s="300"/>
      <c r="B67" s="303"/>
      <c r="C67" s="306"/>
      <c r="D67" s="63">
        <f>IFERROR(ROUNDUP((U67*$X$3*1000*$X$4*$X$2)/((C62/10^3)*$X$5*$AA$4),2),"")</f>
        <v>24.62</v>
      </c>
      <c r="E67" s="64">
        <v>25</v>
      </c>
      <c r="F67" s="65">
        <f>((($X$5*$AA$4*(C62*0.001)*E67)/1000)/O67)</f>
        <v>27.013886705839148</v>
      </c>
      <c r="G67" s="65">
        <f t="shared" si="29"/>
        <v>28.860990070340971</v>
      </c>
      <c r="H67" s="65">
        <f t="shared" si="30"/>
        <v>31.370641380805402</v>
      </c>
      <c r="I67" s="66" t="s">
        <v>32</v>
      </c>
      <c r="J67" s="66" t="s">
        <v>107</v>
      </c>
      <c r="K67" s="67">
        <v>30</v>
      </c>
      <c r="L67" s="67" t="s">
        <v>35</v>
      </c>
      <c r="M67" s="68">
        <f>INDEX('WEG Motor'!$B$3:$AZ$55,
       MATCH(K67,'WEG Motor'!$A$3:$A$55,0),
       MATCH(L67,'WEG Motor'!$B$2:$AZ$2,0))%</f>
        <v>0.93599999999999994</v>
      </c>
      <c r="N67" s="69">
        <v>0.92</v>
      </c>
      <c r="O67" s="70">
        <v>0.81689999999999996</v>
      </c>
      <c r="P67" s="117">
        <v>3.52</v>
      </c>
      <c r="Q67" s="72">
        <f>ROUNDUP(H67/(C62/10^3),2)</f>
        <v>348.57</v>
      </c>
      <c r="R67" s="303"/>
      <c r="S67" s="73"/>
      <c r="T67" s="84"/>
      <c r="U67" s="74">
        <f>R62*(C62/10^3)</f>
        <v>31.41</v>
      </c>
    </row>
    <row r="68" spans="1:29" x14ac:dyDescent="0.3">
      <c r="A68" s="298">
        <v>11</v>
      </c>
      <c r="B68" s="301">
        <v>800</v>
      </c>
      <c r="C68" s="304">
        <f t="shared" ref="C68" si="31" xml:space="preserve"> ROUND((B68 * $AA$6 * 1000) / ($X$5*$AA$2*$AA$3),0)</f>
        <v>96</v>
      </c>
      <c r="D68" s="50">
        <f>IFERROR(ROUNDUP((U68*$X$3*1000*$X$4*$X$2)/((C68/10^3)*$X$5*$AA$4),2),"")</f>
        <v>24.62</v>
      </c>
      <c r="E68" s="51">
        <v>26</v>
      </c>
      <c r="F68" s="52">
        <f>((($X$5*$AA$4*(C68*0.001)*E68)/1000)/O68)</f>
        <v>28.926353695852537</v>
      </c>
      <c r="G68" s="52">
        <f>F68/M68</f>
        <v>30.80548849398566</v>
      </c>
      <c r="H68" s="52">
        <f>G68/N68</f>
        <v>33.484226623897456</v>
      </c>
      <c r="I68" s="53" t="s">
        <v>14</v>
      </c>
      <c r="J68" s="53" t="s">
        <v>69</v>
      </c>
      <c r="K68" s="54">
        <v>37</v>
      </c>
      <c r="L68" s="54" t="s">
        <v>35</v>
      </c>
      <c r="M68" s="55">
        <f>INDEX('WEG Motor'!$B$3:$AZ$55,
       MATCH(K68,'WEG Motor'!$A$3:$A$55,0),
       MATCH(L68,'WEG Motor'!$B$2:$AZ$2,0))%</f>
        <v>0.93900000000000006</v>
      </c>
      <c r="N68" s="56">
        <v>0.92</v>
      </c>
      <c r="O68" s="57">
        <v>0.84630000000000005</v>
      </c>
      <c r="P68" s="58">
        <v>3.2509999999999999</v>
      </c>
      <c r="Q68" s="59">
        <f>ROUNDUP(H68/(C68/10^3),2)</f>
        <v>348.8</v>
      </c>
      <c r="R68" s="301">
        <v>349</v>
      </c>
      <c r="S68" s="60"/>
      <c r="T68" s="82"/>
      <c r="U68" s="61">
        <f>R68*(C68/10^3)</f>
        <v>33.503999999999998</v>
      </c>
      <c r="W68" s="1" t="s">
        <v>17</v>
      </c>
      <c r="X68" s="3">
        <v>0.92</v>
      </c>
      <c r="Z68" s="1" t="s">
        <v>23</v>
      </c>
      <c r="AA68" s="1">
        <v>7</v>
      </c>
      <c r="AC68" s="4" t="s">
        <v>38</v>
      </c>
    </row>
    <row r="69" spans="1:29" x14ac:dyDescent="0.3">
      <c r="A69" s="299"/>
      <c r="B69" s="302"/>
      <c r="C69" s="305"/>
      <c r="D69" s="18">
        <f>IFERROR(ROUNDUP((U69*$X$3*1000*$X$4*$X$2)/((C68/10^3)*$X$5*$AA$4),2),"")</f>
        <v>24.62</v>
      </c>
      <c r="E69" s="19">
        <v>26.5</v>
      </c>
      <c r="F69" s="21">
        <f>((($X$5*$AA$4*(C68*0.001)*E69)/1000)/O69)</f>
        <v>28.838591700416092</v>
      </c>
      <c r="G69" s="21">
        <f t="shared" ref="G69:G73" si="32">F69/M69</f>
        <v>30.712025240059734</v>
      </c>
      <c r="H69" s="21">
        <f t="shared" ref="H69:H73" si="33">G69/N69</f>
        <v>33.382636130499712</v>
      </c>
      <c r="I69" s="23" t="s">
        <v>15</v>
      </c>
      <c r="J69" s="23" t="s">
        <v>63</v>
      </c>
      <c r="K69" s="7">
        <v>37</v>
      </c>
      <c r="L69" s="7" t="s">
        <v>35</v>
      </c>
      <c r="M69" s="11">
        <f>INDEX('WEG Motor'!$B$3:$AZ$55,
       MATCH(K69,'WEG Motor'!$A$3:$A$55,0),
       MATCH(L69,'WEG Motor'!$B$2:$AZ$2,0))%</f>
        <v>0.93900000000000006</v>
      </c>
      <c r="N69" s="9">
        <v>0.92</v>
      </c>
      <c r="O69" s="6">
        <v>0.86519999999999997</v>
      </c>
      <c r="P69" s="8">
        <v>3.2429999999999999</v>
      </c>
      <c r="Q69" s="20">
        <f>ROUNDUP(H69/(C68/10^3),2)</f>
        <v>347.74</v>
      </c>
      <c r="R69" s="302"/>
      <c r="S69" s="5"/>
      <c r="T69" s="83"/>
      <c r="U69" s="62">
        <f>R68*(C68/10^3)</f>
        <v>33.503999999999998</v>
      </c>
      <c r="W69" s="1" t="s">
        <v>19</v>
      </c>
      <c r="X69" s="3">
        <v>0.94</v>
      </c>
      <c r="Z69" s="1" t="s">
        <v>24</v>
      </c>
      <c r="AA69" s="1">
        <v>4.1859999999999999</v>
      </c>
    </row>
    <row r="70" spans="1:29" x14ac:dyDescent="0.3">
      <c r="A70" s="299"/>
      <c r="B70" s="302"/>
      <c r="C70" s="305"/>
      <c r="D70" s="18">
        <f>IFERROR(ROUNDUP((U70*$X$3*1000*$X$4*$X$2)/((C68/10^3)*$X$5*$AA$4),2),"")</f>
        <v>24.62</v>
      </c>
      <c r="E70" s="19">
        <v>26.5</v>
      </c>
      <c r="F70" s="21">
        <f>((($X$5*$AA$4*(C68*0.001)*E70)/1000)/O70)</f>
        <v>28.838591700416092</v>
      </c>
      <c r="G70" s="21">
        <f t="shared" si="32"/>
        <v>30.712025240059734</v>
      </c>
      <c r="H70" s="21">
        <f t="shared" si="33"/>
        <v>33.382636130499712</v>
      </c>
      <c r="I70" s="24" t="s">
        <v>16</v>
      </c>
      <c r="J70" s="24" t="s">
        <v>68</v>
      </c>
      <c r="K70" s="7">
        <v>37</v>
      </c>
      <c r="L70" s="7" t="s">
        <v>35</v>
      </c>
      <c r="M70" s="11">
        <f>INDEX('WEG Motor'!$B$3:$AZ$55,
       MATCH(K70,'WEG Motor'!$A$3:$A$55,0),
       MATCH(L70,'WEG Motor'!$B$2:$AZ$2,0))%</f>
        <v>0.93900000000000006</v>
      </c>
      <c r="N70" s="9">
        <v>0.92</v>
      </c>
      <c r="O70" s="6">
        <v>0.86519999999999997</v>
      </c>
      <c r="P70" s="8">
        <v>3.2429999999999999</v>
      </c>
      <c r="Q70" s="20">
        <f>ROUNDUP(H70/(C68/10^3),2)</f>
        <v>347.74</v>
      </c>
      <c r="R70" s="302"/>
      <c r="S70" s="5"/>
      <c r="T70" s="83"/>
      <c r="U70" s="62">
        <f>R68*(C68/10^3)</f>
        <v>33.503999999999998</v>
      </c>
      <c r="V70" s="10"/>
      <c r="W70" s="1" t="s">
        <v>27</v>
      </c>
      <c r="X70" s="3">
        <v>0.8</v>
      </c>
      <c r="Z70" s="1" t="s">
        <v>28</v>
      </c>
      <c r="AA70" s="1">
        <v>9.81</v>
      </c>
      <c r="AC70" s="2" t="s">
        <v>20</v>
      </c>
    </row>
    <row r="71" spans="1:29" x14ac:dyDescent="0.3">
      <c r="A71" s="299"/>
      <c r="B71" s="302"/>
      <c r="C71" s="305"/>
      <c r="D71" s="18">
        <f>IFERROR(ROUNDUP((U71*$X$3*1000*$X$4*$X$2)/((C68/10^3)*$X$5*$AA$4),2),"")</f>
        <v>24.62</v>
      </c>
      <c r="E71" s="19">
        <v>25.5</v>
      </c>
      <c r="F71" s="21">
        <f>((($X$5*$AA$4*(C68*0.001)*E71)/1000)/O71)</f>
        <v>28.430546745293075</v>
      </c>
      <c r="G71" s="21">
        <f t="shared" si="32"/>
        <v>30.277472572197095</v>
      </c>
      <c r="H71" s="21">
        <f t="shared" si="33"/>
        <v>32.910296274127276</v>
      </c>
      <c r="I71" s="25" t="s">
        <v>30</v>
      </c>
      <c r="J71" s="25" t="s">
        <v>62</v>
      </c>
      <c r="K71" s="7">
        <v>37</v>
      </c>
      <c r="L71" s="7" t="s">
        <v>35</v>
      </c>
      <c r="M71" s="11">
        <f>INDEX('WEG Motor'!$B$3:$AZ$55,
       MATCH(K71,'WEG Motor'!$A$3:$A$55,0),
       MATCH(L71,'WEG Motor'!$B$2:$AZ$2,0))%</f>
        <v>0.93900000000000006</v>
      </c>
      <c r="N71" s="9">
        <v>0.92</v>
      </c>
      <c r="O71" s="6">
        <v>0.84450000000000003</v>
      </c>
      <c r="P71" s="8">
        <v>3.3010000000000002</v>
      </c>
      <c r="Q71" s="20">
        <f>ROUNDUP(H71/(C68/10^3),2)</f>
        <v>342.82</v>
      </c>
      <c r="R71" s="302"/>
      <c r="S71" s="5"/>
      <c r="T71" s="83"/>
      <c r="U71" s="62">
        <f>R68*(C68/10^3)</f>
        <v>33.503999999999998</v>
      </c>
      <c r="V71" s="10"/>
      <c r="W71" s="1" t="s">
        <v>22</v>
      </c>
      <c r="X71" s="1">
        <v>999.78</v>
      </c>
      <c r="Z71" s="1" t="s">
        <v>25</v>
      </c>
      <c r="AA71" s="1" t="s">
        <v>26</v>
      </c>
      <c r="AC71" s="2"/>
    </row>
    <row r="72" spans="1:29" x14ac:dyDescent="0.3">
      <c r="A72" s="299"/>
      <c r="B72" s="302"/>
      <c r="C72" s="305"/>
      <c r="D72" s="18">
        <f>IFERROR(ROUNDUP((U72*$X$3*1000*$X$4*$X$2)/((C68/10^3)*$X$5*$AA$4),2),"")</f>
        <v>24.62</v>
      </c>
      <c r="E72" s="19">
        <v>25.5</v>
      </c>
      <c r="F72" s="21">
        <f>((($X$5*$AA$4*(C68*0.001)*E72)/1000)/O72)</f>
        <v>28.840356428108109</v>
      </c>
      <c r="G72" s="21">
        <f t="shared" si="32"/>
        <v>30.713904609273808</v>
      </c>
      <c r="H72" s="21">
        <f t="shared" si="33"/>
        <v>33.384678923123701</v>
      </c>
      <c r="I72" s="12" t="s">
        <v>18</v>
      </c>
      <c r="J72" s="12" t="s">
        <v>106</v>
      </c>
      <c r="K72" s="7">
        <v>37</v>
      </c>
      <c r="L72" s="7" t="s">
        <v>35</v>
      </c>
      <c r="M72" s="11">
        <f>INDEX('WEG Motor'!$B$3:$AZ$55,
       MATCH(K72,'WEG Motor'!$A$3:$A$55,0),
       MATCH(L72,'WEG Motor'!$B$2:$AZ$2,0))%</f>
        <v>0.93900000000000006</v>
      </c>
      <c r="N72" s="9">
        <v>0.92</v>
      </c>
      <c r="O72" s="6">
        <v>0.83250000000000002</v>
      </c>
      <c r="P72" s="76">
        <v>3.24</v>
      </c>
      <c r="Q72" s="20">
        <f>ROUNDUP(H72/(C68/10^3),2)</f>
        <v>347.76</v>
      </c>
      <c r="R72" s="302"/>
      <c r="S72" s="5"/>
      <c r="T72" s="83"/>
      <c r="U72" s="62">
        <f>R68*(C68/10^3)</f>
        <v>33.503999999999998</v>
      </c>
      <c r="V72" s="10"/>
      <c r="Z72" s="1">
        <v>1</v>
      </c>
      <c r="AA72" s="1">
        <v>3.5169999999999999</v>
      </c>
      <c r="AC72" s="2" t="s">
        <v>21</v>
      </c>
    </row>
    <row r="73" spans="1:29" ht="15" thickBot="1" x14ac:dyDescent="0.35">
      <c r="A73" s="300"/>
      <c r="B73" s="303"/>
      <c r="C73" s="306"/>
      <c r="D73" s="63">
        <f>IFERROR(ROUNDUP((U73*$X$3*1000*$X$4*$X$2)/((C68/10^3)*$X$5*$AA$4),2),"")</f>
        <v>24.62</v>
      </c>
      <c r="E73" s="64">
        <v>25.5</v>
      </c>
      <c r="F73" s="65">
        <f>((($X$5*$AA$4*(C68*0.001)*E73)/1000)/O73)</f>
        <v>28.840356428108109</v>
      </c>
      <c r="G73" s="65">
        <f t="shared" si="32"/>
        <v>30.713904609273808</v>
      </c>
      <c r="H73" s="65">
        <f t="shared" si="33"/>
        <v>33.384678923123701</v>
      </c>
      <c r="I73" s="66" t="s">
        <v>32</v>
      </c>
      <c r="J73" s="66" t="s">
        <v>107</v>
      </c>
      <c r="K73" s="67">
        <v>37</v>
      </c>
      <c r="L73" s="67" t="s">
        <v>35</v>
      </c>
      <c r="M73" s="68">
        <f>INDEX('WEG Motor'!$B$3:$AZ$55,
       MATCH(K73,'WEG Motor'!$A$3:$A$55,0),
       MATCH(L73,'WEG Motor'!$B$2:$AZ$2,0))%</f>
        <v>0.93900000000000006</v>
      </c>
      <c r="N73" s="69">
        <v>0.92</v>
      </c>
      <c r="O73" s="70">
        <v>0.83250000000000002</v>
      </c>
      <c r="P73" s="117">
        <v>3.24</v>
      </c>
      <c r="Q73" s="72">
        <f>ROUNDUP(H73/(C68/10^3),2)</f>
        <v>347.76</v>
      </c>
      <c r="R73" s="303"/>
      <c r="S73" s="73"/>
      <c r="T73" s="84"/>
      <c r="U73" s="74">
        <f>R68*(C68/10^3)</f>
        <v>33.503999999999998</v>
      </c>
    </row>
    <row r="74" spans="1:29" x14ac:dyDescent="0.3">
      <c r="A74" s="298">
        <v>12</v>
      </c>
      <c r="B74" s="301">
        <v>850</v>
      </c>
      <c r="C74" s="304">
        <f t="shared" ref="C74" si="34" xml:space="preserve"> ROUND((B74 * $AA$6 * 1000) / ($X$5*$AA$2*$AA$3),0)</f>
        <v>102</v>
      </c>
      <c r="D74" s="50">
        <f>IFERROR(ROUNDUP((U74*$X$3*1000*$X$4*$X$2)/((C74/10^3)*$X$5*$AA$4),2),"")</f>
        <v>24.62</v>
      </c>
      <c r="E74" s="51">
        <v>26</v>
      </c>
      <c r="F74" s="52">
        <f>((($X$5*$AA$4*(C74*0.001)*E74)/1000)/O74)</f>
        <v>30.676254810237058</v>
      </c>
      <c r="G74" s="52">
        <f>F74/M74</f>
        <v>32.669067955524021</v>
      </c>
      <c r="H74" s="52">
        <f>G74/N74</f>
        <v>35.509856473395672</v>
      </c>
      <c r="I74" s="53" t="s">
        <v>14</v>
      </c>
      <c r="J74" s="53" t="s">
        <v>69</v>
      </c>
      <c r="K74" s="54">
        <v>37</v>
      </c>
      <c r="L74" s="54" t="s">
        <v>35</v>
      </c>
      <c r="M74" s="55">
        <f>INDEX('WEG Motor'!$B$3:$AZ$55,
       MATCH(K74,'WEG Motor'!$A$3:$A$55,0),
       MATCH(L74,'WEG Motor'!$B$2:$AZ$2,0))%</f>
        <v>0.93900000000000006</v>
      </c>
      <c r="N74" s="56">
        <v>0.92</v>
      </c>
      <c r="O74" s="57">
        <v>0.84789999999999999</v>
      </c>
      <c r="P74" s="75">
        <v>3.52</v>
      </c>
      <c r="Q74" s="59">
        <f>ROUNDUP(H74/(C74/10^3),2)</f>
        <v>348.14</v>
      </c>
      <c r="R74" s="301">
        <v>349</v>
      </c>
      <c r="S74" s="60"/>
      <c r="T74" s="82"/>
      <c r="U74" s="61">
        <f>R74*(C74/10^3)</f>
        <v>35.597999999999999</v>
      </c>
      <c r="W74" s="1" t="s">
        <v>17</v>
      </c>
      <c r="X74" s="3">
        <v>0.92</v>
      </c>
      <c r="Z74" s="1" t="s">
        <v>23</v>
      </c>
      <c r="AA74" s="1">
        <v>7</v>
      </c>
      <c r="AC74" s="4" t="s">
        <v>38</v>
      </c>
    </row>
    <row r="75" spans="1:29" x14ac:dyDescent="0.3">
      <c r="A75" s="299"/>
      <c r="B75" s="302"/>
      <c r="C75" s="305"/>
      <c r="D75" s="18">
        <f>IFERROR(ROUNDUP((U75*$X$3*1000*$X$4*$X$2)/((C74/10^3)*$X$5*$AA$4),2),"")</f>
        <v>24.62</v>
      </c>
      <c r="E75" s="19">
        <v>26.5</v>
      </c>
      <c r="F75" s="21">
        <f>((($X$5*$AA$4*(C74*0.001)*E75)/1000)/O75)</f>
        <v>30.422993327289426</v>
      </c>
      <c r="G75" s="21">
        <f t="shared" ref="G75:G79" si="35">F75/M75</f>
        <v>32.399353916176167</v>
      </c>
      <c r="H75" s="21">
        <f t="shared" ref="H75:H79" si="36">G75/N75</f>
        <v>35.216689039321921</v>
      </c>
      <c r="I75" s="23" t="s">
        <v>15</v>
      </c>
      <c r="J75" s="23" t="s">
        <v>63</v>
      </c>
      <c r="K75" s="7">
        <v>37</v>
      </c>
      <c r="L75" s="7" t="s">
        <v>35</v>
      </c>
      <c r="M75" s="11">
        <f>INDEX('WEG Motor'!$B$3:$AZ$55,
       MATCH(K75,'WEG Motor'!$A$3:$A$55,0),
       MATCH(L75,'WEG Motor'!$B$2:$AZ$2,0))%</f>
        <v>0.93900000000000006</v>
      </c>
      <c r="N75" s="9">
        <v>0.92</v>
      </c>
      <c r="O75" s="6">
        <v>0.87139999999999995</v>
      </c>
      <c r="P75" s="8">
        <v>3.343</v>
      </c>
      <c r="Q75" s="20">
        <f>ROUNDUP(H75/(C74/10^3),2)</f>
        <v>345.27</v>
      </c>
      <c r="R75" s="302"/>
      <c r="S75" s="5"/>
      <c r="T75" s="83"/>
      <c r="U75" s="62">
        <f>R74*(C74/10^3)</f>
        <v>35.597999999999999</v>
      </c>
      <c r="W75" s="1" t="s">
        <v>19</v>
      </c>
      <c r="X75" s="3">
        <v>0.94</v>
      </c>
      <c r="Z75" s="1" t="s">
        <v>24</v>
      </c>
      <c r="AA75" s="1">
        <v>4.1859999999999999</v>
      </c>
    </row>
    <row r="76" spans="1:29" x14ac:dyDescent="0.3">
      <c r="A76" s="299"/>
      <c r="B76" s="302"/>
      <c r="C76" s="305"/>
      <c r="D76" s="18">
        <f>IFERROR(ROUNDUP((U76*$X$3*1000*$X$4*$X$2)/((C74/10^3)*$X$5*$AA$4),2),"")</f>
        <v>24.62</v>
      </c>
      <c r="E76" s="19">
        <v>26.5</v>
      </c>
      <c r="F76" s="21">
        <f>((($X$5*$AA$4*(C74*0.001)*E76)/1000)/O76)</f>
        <v>30.422993327289426</v>
      </c>
      <c r="G76" s="21">
        <f t="shared" si="35"/>
        <v>32.399353916176167</v>
      </c>
      <c r="H76" s="21">
        <f t="shared" si="36"/>
        <v>35.216689039321921</v>
      </c>
      <c r="I76" s="24" t="s">
        <v>16</v>
      </c>
      <c r="J76" s="24" t="s">
        <v>68</v>
      </c>
      <c r="K76" s="7">
        <v>37</v>
      </c>
      <c r="L76" s="7" t="s">
        <v>35</v>
      </c>
      <c r="M76" s="11">
        <f>INDEX('WEG Motor'!$B$3:$AZ$55,
       MATCH(K76,'WEG Motor'!$A$3:$A$55,0),
       MATCH(L76,'WEG Motor'!$B$2:$AZ$2,0))%</f>
        <v>0.93900000000000006</v>
      </c>
      <c r="N76" s="9">
        <v>0.92</v>
      </c>
      <c r="O76" s="6">
        <v>0.87139999999999995</v>
      </c>
      <c r="P76" s="8">
        <v>3.343</v>
      </c>
      <c r="Q76" s="20">
        <f>ROUNDUP(H76/(C74/10^3),2)</f>
        <v>345.27</v>
      </c>
      <c r="R76" s="302"/>
      <c r="S76" s="5"/>
      <c r="T76" s="83"/>
      <c r="U76" s="62">
        <f>R74*(C74/10^3)</f>
        <v>35.597999999999999</v>
      </c>
      <c r="V76" s="10"/>
      <c r="W76" s="1" t="s">
        <v>27</v>
      </c>
      <c r="X76" s="3">
        <v>0.8</v>
      </c>
      <c r="Z76" s="1" t="s">
        <v>28</v>
      </c>
      <c r="AA76" s="1">
        <v>9.81</v>
      </c>
      <c r="AC76" s="2" t="s">
        <v>20</v>
      </c>
    </row>
    <row r="77" spans="1:29" x14ac:dyDescent="0.3">
      <c r="A77" s="299"/>
      <c r="B77" s="302"/>
      <c r="C77" s="305"/>
      <c r="D77" s="18">
        <f>IFERROR(ROUNDUP((U77*$X$3*1000*$X$4*$X$2)/((C74/10^3)*$X$5*$AA$4),2),"")</f>
        <v>24.62</v>
      </c>
      <c r="E77" s="19">
        <v>26</v>
      </c>
      <c r="F77" s="21">
        <f>((($X$5*$AA$4*(C74*0.001)*E77)/1000)/O77)</f>
        <v>30.708850594569071</v>
      </c>
      <c r="G77" s="21">
        <f t="shared" si="35"/>
        <v>32.703781250872275</v>
      </c>
      <c r="H77" s="21">
        <f t="shared" si="36"/>
        <v>35.547588316165516</v>
      </c>
      <c r="I77" s="25" t="s">
        <v>30</v>
      </c>
      <c r="J77" s="25" t="s">
        <v>62</v>
      </c>
      <c r="K77" s="7">
        <v>37</v>
      </c>
      <c r="L77" s="7" t="s">
        <v>35</v>
      </c>
      <c r="M77" s="11">
        <f>INDEX('WEG Motor'!$B$3:$AZ$55,
       MATCH(K77,'WEG Motor'!$A$3:$A$55,0),
       MATCH(L77,'WEG Motor'!$B$2:$AZ$2,0))%</f>
        <v>0.93900000000000006</v>
      </c>
      <c r="N77" s="9">
        <v>0.92</v>
      </c>
      <c r="O77" s="6">
        <v>0.84699999999999998</v>
      </c>
      <c r="P77" s="8">
        <v>3.5459999999999998</v>
      </c>
      <c r="Q77" s="20">
        <f>ROUNDUP(H77/(C74/10^3),2)</f>
        <v>348.51</v>
      </c>
      <c r="R77" s="302"/>
      <c r="S77" s="5"/>
      <c r="T77" s="83"/>
      <c r="U77" s="62">
        <f>R74*(C74/10^3)</f>
        <v>35.597999999999999</v>
      </c>
      <c r="V77" s="10"/>
      <c r="W77" s="1" t="s">
        <v>22</v>
      </c>
      <c r="X77" s="1">
        <v>999.78</v>
      </c>
      <c r="Z77" s="1" t="s">
        <v>25</v>
      </c>
      <c r="AA77" s="1" t="s">
        <v>26</v>
      </c>
      <c r="AC77" s="2"/>
    </row>
    <row r="78" spans="1:29" x14ac:dyDescent="0.3">
      <c r="A78" s="299"/>
      <c r="B78" s="302"/>
      <c r="C78" s="305"/>
      <c r="D78" s="18">
        <f>IFERROR(ROUNDUP((U78*$X$3*1000*$X$4*$X$2)/((C74/10^3)*$X$5*$AA$4),2),"")</f>
        <v>24.62</v>
      </c>
      <c r="E78" s="19">
        <v>26</v>
      </c>
      <c r="F78" s="21">
        <f>((($X$5*$AA$4*(C74*0.001)*E78)/1000)/O78)</f>
        <v>30.690733278584073</v>
      </c>
      <c r="G78" s="21">
        <f t="shared" si="35"/>
        <v>32.68448698464757</v>
      </c>
      <c r="H78" s="21">
        <f t="shared" si="36"/>
        <v>35.526616287660403</v>
      </c>
      <c r="I78" s="12" t="s">
        <v>18</v>
      </c>
      <c r="J78" s="12" t="s">
        <v>106</v>
      </c>
      <c r="K78" s="7">
        <v>37</v>
      </c>
      <c r="L78" s="7" t="s">
        <v>35</v>
      </c>
      <c r="M78" s="11">
        <f>INDEX('WEG Motor'!$B$3:$AZ$55,
       MATCH(K78,'WEG Motor'!$A$3:$A$55,0),
       MATCH(L78,'WEG Motor'!$B$2:$AZ$2,0))%</f>
        <v>0.93900000000000006</v>
      </c>
      <c r="N78" s="9">
        <v>0.92</v>
      </c>
      <c r="O78" s="6">
        <v>0.84750000000000003</v>
      </c>
      <c r="P78" s="76">
        <v>3.35</v>
      </c>
      <c r="Q78" s="20">
        <f>ROUNDUP(H78/(C74/10^3),2)</f>
        <v>348.31</v>
      </c>
      <c r="R78" s="302"/>
      <c r="S78" s="5"/>
      <c r="T78" s="83"/>
      <c r="U78" s="62">
        <f>R74*(C74/10^3)</f>
        <v>35.597999999999999</v>
      </c>
      <c r="V78" s="10"/>
      <c r="Z78" s="1">
        <v>1</v>
      </c>
      <c r="AA78" s="1">
        <v>3.5169999999999999</v>
      </c>
      <c r="AC78" s="2" t="s">
        <v>21</v>
      </c>
    </row>
    <row r="79" spans="1:29" ht="15" thickBot="1" x14ac:dyDescent="0.35">
      <c r="A79" s="300"/>
      <c r="B79" s="303"/>
      <c r="C79" s="306"/>
      <c r="D79" s="63">
        <f>IFERROR(ROUNDUP((U79*$X$3*1000*$X$4*$X$2)/((C74/10^3)*$X$5*$AA$4),2),"")</f>
        <v>24.62</v>
      </c>
      <c r="E79" s="64">
        <v>26</v>
      </c>
      <c r="F79" s="65">
        <f>((($X$5*$AA$4*(C74*0.001)*E79)/1000)/O79)</f>
        <v>30.690733278584073</v>
      </c>
      <c r="G79" s="65">
        <f t="shared" si="35"/>
        <v>32.68448698464757</v>
      </c>
      <c r="H79" s="65">
        <f t="shared" si="36"/>
        <v>35.526616287660403</v>
      </c>
      <c r="I79" s="66" t="s">
        <v>32</v>
      </c>
      <c r="J79" s="66" t="s">
        <v>107</v>
      </c>
      <c r="K79" s="67">
        <v>37</v>
      </c>
      <c r="L79" s="67" t="s">
        <v>35</v>
      </c>
      <c r="M79" s="68">
        <f>INDEX('WEG Motor'!$B$3:$AZ$55,
       MATCH(K79,'WEG Motor'!$A$3:$A$55,0),
       MATCH(L79,'WEG Motor'!$B$2:$AZ$2,0))%</f>
        <v>0.93900000000000006</v>
      </c>
      <c r="N79" s="69">
        <v>0.92</v>
      </c>
      <c r="O79" s="70">
        <v>0.84750000000000003</v>
      </c>
      <c r="P79" s="117">
        <v>3.35</v>
      </c>
      <c r="Q79" s="72">
        <f>ROUNDUP(H79/(C74/10^3),2)</f>
        <v>348.31</v>
      </c>
      <c r="R79" s="303"/>
      <c r="S79" s="73"/>
      <c r="T79" s="84"/>
      <c r="U79" s="74">
        <f>R74*(C74/10^3)</f>
        <v>35.597999999999999</v>
      </c>
    </row>
    <row r="80" spans="1:29" x14ac:dyDescent="0.3">
      <c r="A80" s="298">
        <v>13</v>
      </c>
      <c r="B80" s="301">
        <v>900</v>
      </c>
      <c r="C80" s="304">
        <f t="shared" ref="C80" si="37" xml:space="preserve"> ROUND((B80 * $AA$6 * 1000) / ($X$5*$AA$2*$AA$3),0)</f>
        <v>108</v>
      </c>
      <c r="D80" s="50">
        <f>IFERROR(ROUNDUP((U80*$X$3*1000*$X$4*$X$2)/((C80/10^3)*$X$5*$AA$4),2),"")</f>
        <v>24.62</v>
      </c>
      <c r="E80" s="51">
        <v>26</v>
      </c>
      <c r="F80" s="52">
        <f>((($X$5*$AA$4*(C80*0.001)*E80)/1000)/O80)</f>
        <v>32.484571566878977</v>
      </c>
      <c r="G80" s="52">
        <f>F80/M80</f>
        <v>34.594857898699651</v>
      </c>
      <c r="H80" s="52">
        <f>G80/N80</f>
        <v>37.603106411630051</v>
      </c>
      <c r="I80" s="53" t="s">
        <v>14</v>
      </c>
      <c r="J80" s="53" t="s">
        <v>69</v>
      </c>
      <c r="K80" s="54">
        <v>37</v>
      </c>
      <c r="L80" s="54" t="s">
        <v>35</v>
      </c>
      <c r="M80" s="55">
        <f>INDEX('WEG Motor'!$B$3:$AZ$55,
       MATCH(K80,'WEG Motor'!$A$3:$A$55,0),
       MATCH(L80,'WEG Motor'!$B$2:$AZ$2,0))%</f>
        <v>0.93900000000000006</v>
      </c>
      <c r="N80" s="56">
        <v>0.92</v>
      </c>
      <c r="O80" s="57">
        <v>0.8478</v>
      </c>
      <c r="P80" s="75">
        <v>3.81</v>
      </c>
      <c r="Q80" s="59">
        <f>ROUNDUP(H80/(C80/10^3),2)</f>
        <v>348.18</v>
      </c>
      <c r="R80" s="301">
        <v>349</v>
      </c>
      <c r="S80" s="60"/>
      <c r="T80" s="82"/>
      <c r="U80" s="61">
        <f>R80*(C80/10^3)</f>
        <v>37.692</v>
      </c>
      <c r="W80" s="1" t="s">
        <v>17</v>
      </c>
      <c r="X80" s="3">
        <v>0.92</v>
      </c>
      <c r="Z80" s="1" t="s">
        <v>23</v>
      </c>
      <c r="AA80" s="1">
        <v>7</v>
      </c>
      <c r="AC80" s="4" t="s">
        <v>38</v>
      </c>
    </row>
    <row r="81" spans="1:29" x14ac:dyDescent="0.3">
      <c r="A81" s="299"/>
      <c r="B81" s="302"/>
      <c r="C81" s="305"/>
      <c r="D81" s="18">
        <f>IFERROR(ROUNDUP((U81*$X$3*1000*$X$4*$X$2)/((C80/10^3)*$X$5*$AA$4),2),"")</f>
        <v>24.62</v>
      </c>
      <c r="E81" s="19">
        <v>26.5</v>
      </c>
      <c r="F81" s="21">
        <f>((($X$5*$AA$4*(C80*0.001)*E81)/1000)/O81)</f>
        <v>32.050745868463117</v>
      </c>
      <c r="G81" s="21">
        <f t="shared" ref="G81:G85" si="38">F81/M81</f>
        <v>34.132849700173715</v>
      </c>
      <c r="H81" s="21">
        <f t="shared" ref="H81:H85" si="39">G81/N81</f>
        <v>37.100923587145338</v>
      </c>
      <c r="I81" s="23" t="s">
        <v>15</v>
      </c>
      <c r="J81" s="23" t="s">
        <v>63</v>
      </c>
      <c r="K81" s="7">
        <v>37</v>
      </c>
      <c r="L81" s="7" t="s">
        <v>35</v>
      </c>
      <c r="M81" s="11">
        <f>INDEX('WEG Motor'!$B$3:$AZ$55,
       MATCH(K81,'WEG Motor'!$A$3:$A$55,0),
       MATCH(L81,'WEG Motor'!$B$2:$AZ$2,0))%</f>
        <v>0.93900000000000006</v>
      </c>
      <c r="N81" s="9">
        <v>0.92</v>
      </c>
      <c r="O81" s="6">
        <v>0.87580000000000002</v>
      </c>
      <c r="P81" s="8">
        <v>3.476</v>
      </c>
      <c r="Q81" s="20">
        <f>ROUNDUP(H81/(C80/10^3),2)</f>
        <v>343.53</v>
      </c>
      <c r="R81" s="302"/>
      <c r="S81" s="5"/>
      <c r="T81" s="83"/>
      <c r="U81" s="62">
        <f>R80*(C80/10^3)</f>
        <v>37.692</v>
      </c>
      <c r="W81" s="1" t="s">
        <v>19</v>
      </c>
      <c r="X81" s="3">
        <v>0.94</v>
      </c>
      <c r="Z81" s="1" t="s">
        <v>24</v>
      </c>
      <c r="AA81" s="1">
        <v>4.1859999999999999</v>
      </c>
    </row>
    <row r="82" spans="1:29" x14ac:dyDescent="0.3">
      <c r="A82" s="299"/>
      <c r="B82" s="302"/>
      <c r="C82" s="305"/>
      <c r="D82" s="18">
        <f>IFERROR(ROUNDUP((U82*$X$3*1000*$X$4*$X$2)/((C80/10^3)*$X$5*$AA$4),2),"")</f>
        <v>24.62</v>
      </c>
      <c r="E82" s="19">
        <v>26.5</v>
      </c>
      <c r="F82" s="21">
        <f>((($X$5*$AA$4*(C80*0.001)*E82)/1000)/O82)</f>
        <v>32.050745868463117</v>
      </c>
      <c r="G82" s="21">
        <f t="shared" si="38"/>
        <v>34.132849700173715</v>
      </c>
      <c r="H82" s="21">
        <f t="shared" si="39"/>
        <v>37.100923587145338</v>
      </c>
      <c r="I82" s="24" t="s">
        <v>16</v>
      </c>
      <c r="J82" s="24" t="s">
        <v>68</v>
      </c>
      <c r="K82" s="7">
        <v>37</v>
      </c>
      <c r="L82" s="7" t="s">
        <v>35</v>
      </c>
      <c r="M82" s="11">
        <f>INDEX('WEG Motor'!$B$3:$AZ$55,
       MATCH(K82,'WEG Motor'!$A$3:$A$55,0),
       MATCH(L82,'WEG Motor'!$B$2:$AZ$2,0))%</f>
        <v>0.93900000000000006</v>
      </c>
      <c r="N82" s="9">
        <v>0.92</v>
      </c>
      <c r="O82" s="6">
        <v>0.87580000000000002</v>
      </c>
      <c r="P82" s="8">
        <v>3.476</v>
      </c>
      <c r="Q82" s="20">
        <f>ROUNDUP(H82/(C80/10^3),2)</f>
        <v>343.53</v>
      </c>
      <c r="R82" s="302"/>
      <c r="S82" s="5"/>
      <c r="T82" s="83"/>
      <c r="U82" s="62">
        <f>R80*(C80/10^3)</f>
        <v>37.692</v>
      </c>
      <c r="V82" s="10"/>
      <c r="W82" s="1" t="s">
        <v>27</v>
      </c>
      <c r="X82" s="3">
        <v>0.8</v>
      </c>
      <c r="Z82" s="1" t="s">
        <v>28</v>
      </c>
      <c r="AA82" s="1">
        <v>9.81</v>
      </c>
      <c r="AC82" s="2" t="s">
        <v>20</v>
      </c>
    </row>
    <row r="83" spans="1:29" x14ac:dyDescent="0.3">
      <c r="A83" s="299"/>
      <c r="B83" s="302"/>
      <c r="C83" s="305"/>
      <c r="D83" s="18">
        <f>IFERROR(ROUNDUP((U83*$X$3*1000*$X$4*$X$2)/((C80/10^3)*$X$5*$AA$4),2),"")</f>
        <v>24.62</v>
      </c>
      <c r="E83" s="19">
        <v>26</v>
      </c>
      <c r="F83" s="21">
        <f>((($X$5*$AA$4*(C80*0.001)*E83)/1000)/O83)</f>
        <v>32.496070530265484</v>
      </c>
      <c r="G83" s="21">
        <f t="shared" si="38"/>
        <v>34.607103866097425</v>
      </c>
      <c r="H83" s="21">
        <f t="shared" si="39"/>
        <v>37.616417245758072</v>
      </c>
      <c r="I83" s="25" t="s">
        <v>30</v>
      </c>
      <c r="J83" s="25" t="s">
        <v>62</v>
      </c>
      <c r="K83" s="7">
        <v>37</v>
      </c>
      <c r="L83" s="7" t="s">
        <v>35</v>
      </c>
      <c r="M83" s="11">
        <f>INDEX('WEG Motor'!$B$3:$AZ$55,
       MATCH(K83,'WEG Motor'!$A$3:$A$55,0),
       MATCH(L83,'WEG Motor'!$B$2:$AZ$2,0))%</f>
        <v>0.93900000000000006</v>
      </c>
      <c r="N83" s="9">
        <v>0.92</v>
      </c>
      <c r="O83" s="6">
        <v>0.84750000000000003</v>
      </c>
      <c r="P83" s="8">
        <v>3.8180000000000001</v>
      </c>
      <c r="Q83" s="20">
        <f>ROUNDUP(H83/(C80/10^3),2)</f>
        <v>348.31</v>
      </c>
      <c r="R83" s="302"/>
      <c r="S83" s="5"/>
      <c r="T83" s="83"/>
      <c r="U83" s="62">
        <f>R80*(C80/10^3)</f>
        <v>37.692</v>
      </c>
      <c r="V83" s="10"/>
      <c r="W83" s="1" t="s">
        <v>22</v>
      </c>
      <c r="X83" s="1">
        <v>999.78</v>
      </c>
      <c r="Z83" s="1" t="s">
        <v>25</v>
      </c>
      <c r="AA83" s="1" t="s">
        <v>26</v>
      </c>
      <c r="AC83" s="2"/>
    </row>
    <row r="84" spans="1:29" x14ac:dyDescent="0.3">
      <c r="A84" s="299"/>
      <c r="B84" s="302"/>
      <c r="C84" s="305"/>
      <c r="D84" s="18">
        <f>IFERROR(ROUNDUP((U84*$X$3*1000*$X$4*$X$2)/((C80/10^3)*$X$5*$AA$4),2),"")</f>
        <v>24.62</v>
      </c>
      <c r="E84" s="19">
        <v>26</v>
      </c>
      <c r="F84" s="21">
        <f>((($X$5*$AA$4*(C80*0.001)*E84)/1000)/O84)</f>
        <v>32.012576745786355</v>
      </c>
      <c r="G84" s="21">
        <f t="shared" si="38"/>
        <v>34.09220100722721</v>
      </c>
      <c r="H84" s="21">
        <f t="shared" si="39"/>
        <v>37.056740225246969</v>
      </c>
      <c r="I84" s="12" t="s">
        <v>18</v>
      </c>
      <c r="J84" s="12" t="s">
        <v>106</v>
      </c>
      <c r="K84" s="7">
        <v>37</v>
      </c>
      <c r="L84" s="7" t="s">
        <v>35</v>
      </c>
      <c r="M84" s="11">
        <f>INDEX('WEG Motor'!$B$3:$AZ$55,
       MATCH(K84,'WEG Motor'!$A$3:$A$55,0),
       MATCH(L84,'WEG Motor'!$B$2:$AZ$2,0))%</f>
        <v>0.93900000000000006</v>
      </c>
      <c r="N84" s="9">
        <v>0.92</v>
      </c>
      <c r="O84" s="6">
        <v>0.86029999999999995</v>
      </c>
      <c r="P84" s="76">
        <v>3.47</v>
      </c>
      <c r="Q84" s="20">
        <f>ROUNDUP(H84/(C80/10^3),2)</f>
        <v>343.12</v>
      </c>
      <c r="R84" s="302"/>
      <c r="S84" s="5"/>
      <c r="T84" s="83"/>
      <c r="U84" s="62">
        <f>R80*(C80/10^3)</f>
        <v>37.692</v>
      </c>
      <c r="V84" s="10"/>
      <c r="Z84" s="1">
        <v>1</v>
      </c>
      <c r="AA84" s="1">
        <v>3.5169999999999999</v>
      </c>
      <c r="AC84" s="2" t="s">
        <v>21</v>
      </c>
    </row>
    <row r="85" spans="1:29" ht="15" thickBot="1" x14ac:dyDescent="0.35">
      <c r="A85" s="300"/>
      <c r="B85" s="303"/>
      <c r="C85" s="306"/>
      <c r="D85" s="63">
        <f>IFERROR(ROUNDUP((U85*$X$3*1000*$X$4*$X$2)/((C80/10^3)*$X$5*$AA$4),2),"")</f>
        <v>24.62</v>
      </c>
      <c r="E85" s="64">
        <v>26</v>
      </c>
      <c r="F85" s="65">
        <f>((($X$5*$AA$4*(C80*0.001)*E85)/1000)/O85)</f>
        <v>32.034918895428632</v>
      </c>
      <c r="G85" s="65">
        <f t="shared" si="38"/>
        <v>34.115994563821758</v>
      </c>
      <c r="H85" s="65">
        <f t="shared" si="39"/>
        <v>37.082602786762777</v>
      </c>
      <c r="I85" s="66" t="s">
        <v>32</v>
      </c>
      <c r="J85" s="66" t="s">
        <v>107</v>
      </c>
      <c r="K85" s="67">
        <v>37</v>
      </c>
      <c r="L85" s="67" t="s">
        <v>35</v>
      </c>
      <c r="M85" s="68">
        <f>INDEX('WEG Motor'!$B$3:$AZ$55,
       MATCH(K85,'WEG Motor'!$A$3:$A$55,0),
       MATCH(L85,'WEG Motor'!$B$2:$AZ$2,0))%</f>
        <v>0.93900000000000006</v>
      </c>
      <c r="N85" s="69">
        <v>0.92</v>
      </c>
      <c r="O85" s="70">
        <v>0.85970000000000002</v>
      </c>
      <c r="P85" s="117">
        <v>3.49</v>
      </c>
      <c r="Q85" s="72">
        <f>ROUNDUP(H85/(C80/10^3),2)</f>
        <v>343.36</v>
      </c>
      <c r="R85" s="303"/>
      <c r="S85" s="73"/>
      <c r="T85" s="84"/>
      <c r="U85" s="74">
        <f>R80*(C80/10^3)</f>
        <v>37.692</v>
      </c>
    </row>
    <row r="86" spans="1:29" x14ac:dyDescent="0.3">
      <c r="A86" s="298">
        <v>14</v>
      </c>
      <c r="B86" s="301">
        <v>950</v>
      </c>
      <c r="C86" s="304">
        <f t="shared" ref="C86" si="40" xml:space="preserve"> ROUND((B86 * $AA$6 * 1000) / ($X$5*$AA$2*$AA$3),0)</f>
        <v>114</v>
      </c>
      <c r="D86" s="50">
        <f>IFERROR(ROUNDUP((U86*$X$3*1000*$X$4*$X$2)/((C86/10^3)*$X$5*$AA$4),2),"")</f>
        <v>24.62</v>
      </c>
      <c r="E86" s="51">
        <v>25.5</v>
      </c>
      <c r="F86" s="52">
        <f>((($X$5*$AA$4*(C86*0.001)*E86)/1000)/O86)</f>
        <v>33.709382965949395</v>
      </c>
      <c r="G86" s="52">
        <f>F86/M86</f>
        <v>35.899236385462615</v>
      </c>
      <c r="H86" s="52">
        <f>G86/N86</f>
        <v>39.020909114633277</v>
      </c>
      <c r="I86" s="53" t="s">
        <v>14</v>
      </c>
      <c r="J86" s="53" t="s">
        <v>69</v>
      </c>
      <c r="K86" s="54">
        <v>37</v>
      </c>
      <c r="L86" s="54" t="s">
        <v>35</v>
      </c>
      <c r="M86" s="55">
        <f>INDEX('WEG Motor'!$B$3:$AZ$55,
       MATCH(K86,'WEG Motor'!$A$3:$A$55,0),
       MATCH(L86,'WEG Motor'!$B$2:$AZ$2,0))%</f>
        <v>0.93900000000000006</v>
      </c>
      <c r="N86" s="56">
        <v>0.92</v>
      </c>
      <c r="O86" s="57">
        <v>0.8458</v>
      </c>
      <c r="P86" s="58">
        <v>4.1210000000000004</v>
      </c>
      <c r="Q86" s="59">
        <f>ROUNDUP(H86/(C86/10^3),2)</f>
        <v>342.28999999999996</v>
      </c>
      <c r="R86" s="301">
        <v>349</v>
      </c>
      <c r="S86" s="60"/>
      <c r="T86" s="82"/>
      <c r="U86" s="61">
        <f>R86*(C86/10^3)</f>
        <v>39.786000000000001</v>
      </c>
      <c r="W86" s="1" t="s">
        <v>17</v>
      </c>
      <c r="X86" s="3">
        <v>0.92</v>
      </c>
      <c r="Z86" s="1" t="s">
        <v>23</v>
      </c>
      <c r="AA86" s="1">
        <v>7</v>
      </c>
      <c r="AC86" s="4" t="s">
        <v>38</v>
      </c>
    </row>
    <row r="87" spans="1:29" x14ac:dyDescent="0.3">
      <c r="A87" s="299"/>
      <c r="B87" s="302"/>
      <c r="C87" s="305"/>
      <c r="D87" s="18">
        <f>IFERROR(ROUNDUP((U87*$X$3*1000*$X$4*$X$2)/((C86/10^3)*$X$5*$AA$4),2),"")</f>
        <v>24.62</v>
      </c>
      <c r="E87" s="19">
        <v>26.5</v>
      </c>
      <c r="F87" s="21">
        <f>((($X$5*$AA$4*(C86*0.001)*E87)/1000)/O87)</f>
        <v>33.738886447050781</v>
      </c>
      <c r="G87" s="21">
        <f t="shared" ref="G87:G91" si="41">F87/M87</f>
        <v>35.930656493131821</v>
      </c>
      <c r="H87" s="21">
        <f t="shared" ref="H87:H91" si="42">G87/N87</f>
        <v>39.055061405578066</v>
      </c>
      <c r="I87" s="23" t="s">
        <v>15</v>
      </c>
      <c r="J87" s="23" t="s">
        <v>63</v>
      </c>
      <c r="K87" s="7">
        <v>37</v>
      </c>
      <c r="L87" s="7" t="s">
        <v>35</v>
      </c>
      <c r="M87" s="11">
        <f>INDEX('WEG Motor'!$B$3:$AZ$55,
       MATCH(K87,'WEG Motor'!$A$3:$A$55,0),
       MATCH(L87,'WEG Motor'!$B$2:$AZ$2,0))%</f>
        <v>0.93900000000000006</v>
      </c>
      <c r="N87" s="9">
        <v>0.92</v>
      </c>
      <c r="O87" s="6">
        <v>0.87819999999999998</v>
      </c>
      <c r="P87" s="8">
        <v>3.6509999999999998</v>
      </c>
      <c r="Q87" s="20">
        <f>ROUNDUP(H87/(C86/10^3),2)</f>
        <v>342.59</v>
      </c>
      <c r="R87" s="302"/>
      <c r="S87" s="5"/>
      <c r="T87" s="83"/>
      <c r="U87" s="62">
        <f>R86*(C86/10^3)</f>
        <v>39.786000000000001</v>
      </c>
      <c r="W87" s="1" t="s">
        <v>19</v>
      </c>
      <c r="X87" s="3">
        <v>0.94</v>
      </c>
      <c r="Z87" s="1" t="s">
        <v>24</v>
      </c>
      <c r="AA87" s="1">
        <v>4.1859999999999999</v>
      </c>
    </row>
    <row r="88" spans="1:29" x14ac:dyDescent="0.3">
      <c r="A88" s="299"/>
      <c r="B88" s="302"/>
      <c r="C88" s="305"/>
      <c r="D88" s="18">
        <f>IFERROR(ROUNDUP((U88*$X$3*1000*$X$4*$X$2)/((C86/10^3)*$X$5*$AA$4),2),"")</f>
        <v>24.62</v>
      </c>
      <c r="E88" s="19">
        <v>26</v>
      </c>
      <c r="F88" s="21">
        <f>((($X$5*$AA$4*(C86*0.001)*E88)/1000)/O88)</f>
        <v>33.136262504502454</v>
      </c>
      <c r="G88" s="21">
        <f t="shared" si="41"/>
        <v>35.28888445633914</v>
      </c>
      <c r="H88" s="21">
        <f t="shared" si="42"/>
        <v>38.357483104716458</v>
      </c>
      <c r="I88" s="24" t="s">
        <v>16</v>
      </c>
      <c r="J88" s="24" t="s">
        <v>68</v>
      </c>
      <c r="K88" s="7">
        <v>37</v>
      </c>
      <c r="L88" s="7" t="s">
        <v>35</v>
      </c>
      <c r="M88" s="11">
        <f>INDEX('WEG Motor'!$B$3:$AZ$55,
       MATCH(K88,'WEG Motor'!$A$3:$A$55,0),
       MATCH(L88,'WEG Motor'!$B$2:$AZ$2,0))%</f>
        <v>0.93900000000000006</v>
      </c>
      <c r="N88" s="9">
        <v>0.92</v>
      </c>
      <c r="O88" s="6">
        <v>0.87729999999999997</v>
      </c>
      <c r="P88" s="8">
        <v>3.6509999999999998</v>
      </c>
      <c r="Q88" s="37">
        <f>ROUNDUP(H88/(C86/10^3),2)</f>
        <v>336.46999999999997</v>
      </c>
      <c r="R88" s="302"/>
      <c r="S88" s="5"/>
      <c r="T88" s="83"/>
      <c r="U88" s="62">
        <f>R86*(C86/10^3)</f>
        <v>39.786000000000001</v>
      </c>
      <c r="V88" s="10"/>
      <c r="W88" s="1" t="s">
        <v>27</v>
      </c>
      <c r="X88" s="3">
        <v>0.8</v>
      </c>
      <c r="Z88" s="1" t="s">
        <v>28</v>
      </c>
      <c r="AA88" s="1">
        <v>9.81</v>
      </c>
      <c r="AC88" s="2" t="s">
        <v>20</v>
      </c>
    </row>
    <row r="89" spans="1:29" x14ac:dyDescent="0.3">
      <c r="A89" s="299"/>
      <c r="B89" s="302"/>
      <c r="C89" s="305"/>
      <c r="D89" s="18">
        <f>IFERROR(ROUNDUP((U89*$X$3*1000*$X$4*$X$2)/((C86/10^3)*$X$5*$AA$4),2),"")</f>
        <v>24.62</v>
      </c>
      <c r="E89" s="19">
        <v>26</v>
      </c>
      <c r="F89" s="21">
        <f>((($X$5*$AA$4*(C86*0.001)*E89)/1000)/O89)</f>
        <v>34.366288089845135</v>
      </c>
      <c r="G89" s="21">
        <f t="shared" si="41"/>
        <v>36.59881585713007</v>
      </c>
      <c r="H89" s="21">
        <f t="shared" si="42"/>
        <v>39.781321583837034</v>
      </c>
      <c r="I89" s="25" t="s">
        <v>30</v>
      </c>
      <c r="J89" s="25" t="s">
        <v>62</v>
      </c>
      <c r="K89" s="7">
        <v>37</v>
      </c>
      <c r="L89" s="7" t="s">
        <v>35</v>
      </c>
      <c r="M89" s="11">
        <f>INDEX('WEG Motor'!$B$3:$AZ$55,
       MATCH(K89,'WEG Motor'!$A$3:$A$55,0),
       MATCH(L89,'WEG Motor'!$B$2:$AZ$2,0))%</f>
        <v>0.93900000000000006</v>
      </c>
      <c r="N89" s="9">
        <v>0.92</v>
      </c>
      <c r="O89" s="6">
        <v>0.84589999999999999</v>
      </c>
      <c r="P89" s="8">
        <v>4.1219999999999999</v>
      </c>
      <c r="Q89" s="20">
        <f>ROUNDUP(H89/(C86/10^3),2)</f>
        <v>348.96</v>
      </c>
      <c r="R89" s="302"/>
      <c r="S89" s="5"/>
      <c r="T89" s="83"/>
      <c r="U89" s="62">
        <f>R86*(C86/10^3)</f>
        <v>39.786000000000001</v>
      </c>
      <c r="V89" s="10"/>
      <c r="W89" s="1" t="s">
        <v>22</v>
      </c>
      <c r="X89" s="1">
        <v>999.78</v>
      </c>
      <c r="Z89" s="1" t="s">
        <v>25</v>
      </c>
      <c r="AA89" s="1" t="s">
        <v>26</v>
      </c>
      <c r="AC89" s="2"/>
    </row>
    <row r="90" spans="1:29" x14ac:dyDescent="0.3">
      <c r="A90" s="299"/>
      <c r="B90" s="302"/>
      <c r="C90" s="305"/>
      <c r="D90" s="18">
        <f>IFERROR(ROUNDUP((U90*$X$3*1000*$X$4*$X$2)/((C86/10^3)*$X$5*$AA$4),2),"")</f>
        <v>24.62</v>
      </c>
      <c r="E90" s="19">
        <v>26.5</v>
      </c>
      <c r="F90" s="21">
        <f>((($X$5*$AA$4*(C86*0.001)*E90)/1000)/O90)</f>
        <v>34.115705328497405</v>
      </c>
      <c r="G90" s="21">
        <f t="shared" si="41"/>
        <v>36.331954556440259</v>
      </c>
      <c r="H90" s="21">
        <f t="shared" si="42"/>
        <v>39.491254952652454</v>
      </c>
      <c r="I90" s="12" t="s">
        <v>18</v>
      </c>
      <c r="J90" s="12" t="s">
        <v>106</v>
      </c>
      <c r="K90" s="7">
        <v>37</v>
      </c>
      <c r="L90" s="7" t="s">
        <v>35</v>
      </c>
      <c r="M90" s="11">
        <f>INDEX('WEG Motor'!$B$3:$AZ$55,
       MATCH(K90,'WEG Motor'!$A$3:$A$55,0),
       MATCH(L90,'WEG Motor'!$B$2:$AZ$2,0))%</f>
        <v>0.93900000000000006</v>
      </c>
      <c r="N90" s="9">
        <v>0.92</v>
      </c>
      <c r="O90" s="6">
        <v>0.86850000000000005</v>
      </c>
      <c r="P90" s="76">
        <v>3.62</v>
      </c>
      <c r="Q90" s="37">
        <f>ROUNDUP(H90/(C86/10^3),2)</f>
        <v>346.42</v>
      </c>
      <c r="R90" s="302"/>
      <c r="S90" s="5"/>
      <c r="T90" s="83"/>
      <c r="U90" s="62">
        <f>R86*(C86/10^3)</f>
        <v>39.786000000000001</v>
      </c>
      <c r="V90" s="10"/>
      <c r="Z90" s="1">
        <v>1</v>
      </c>
      <c r="AA90" s="1">
        <v>3.5169999999999999</v>
      </c>
      <c r="AC90" s="2" t="s">
        <v>21</v>
      </c>
    </row>
    <row r="91" spans="1:29" ht="15" thickBot="1" x14ac:dyDescent="0.35">
      <c r="A91" s="300"/>
      <c r="B91" s="303"/>
      <c r="C91" s="306"/>
      <c r="D91" s="63">
        <f>IFERROR(ROUNDUP((U91*$X$3*1000*$X$4*$X$2)/((C86/10^3)*$X$5*$AA$4),2),"")</f>
        <v>24.62</v>
      </c>
      <c r="E91" s="64">
        <v>26.5</v>
      </c>
      <c r="F91" s="65">
        <f>((($X$5*$AA$4*(C86*0.001)*E91)/1000)/O91)</f>
        <v>34.115705328497405</v>
      </c>
      <c r="G91" s="65">
        <f t="shared" si="41"/>
        <v>36.331954556440259</v>
      </c>
      <c r="H91" s="65">
        <f t="shared" si="42"/>
        <v>39.491254952652454</v>
      </c>
      <c r="I91" s="66" t="s">
        <v>32</v>
      </c>
      <c r="J91" s="66" t="s">
        <v>107</v>
      </c>
      <c r="K91" s="67">
        <v>37</v>
      </c>
      <c r="L91" s="67" t="s">
        <v>35</v>
      </c>
      <c r="M91" s="68">
        <f>INDEX('WEG Motor'!$B$3:$AZ$55,
       MATCH(K91,'WEG Motor'!$A$3:$A$55,0),
       MATCH(L91,'WEG Motor'!$B$2:$AZ$2,0))%</f>
        <v>0.93900000000000006</v>
      </c>
      <c r="N91" s="69">
        <v>0.92</v>
      </c>
      <c r="O91" s="70">
        <v>0.86850000000000005</v>
      </c>
      <c r="P91" s="117">
        <v>3.62</v>
      </c>
      <c r="Q91" s="72">
        <f>ROUNDUP(H91/(C86/10^3),2)</f>
        <v>346.42</v>
      </c>
      <c r="R91" s="303"/>
      <c r="S91" s="73"/>
      <c r="T91" s="84"/>
      <c r="U91" s="74">
        <f>R86*(C86/10^3)</f>
        <v>39.786000000000001</v>
      </c>
    </row>
    <row r="92" spans="1:29" x14ac:dyDescent="0.3">
      <c r="A92" s="298">
        <v>15</v>
      </c>
      <c r="B92" s="301">
        <v>1000</v>
      </c>
      <c r="C92" s="304">
        <f t="shared" ref="C92" si="43" xml:space="preserve"> ROUND((B92 * $AA$6 * 1000) / ($X$5*$AA$2*$AA$3),0)</f>
        <v>120</v>
      </c>
      <c r="D92" s="50">
        <f>IFERROR(ROUNDUP((U92*$X$3*1000*$X$4*$X$2)/((C92/10^3)*$X$5*$AA$4),2),"")</f>
        <v>24.62</v>
      </c>
      <c r="E92" s="51">
        <v>25.5</v>
      </c>
      <c r="F92" s="52">
        <f>((($X$5*$AA$4*(C92*0.001)*E92)/1000)/O92)</f>
        <v>35.745588265840873</v>
      </c>
      <c r="G92" s="52">
        <f>F92/M92</f>
        <v>37.94648435864211</v>
      </c>
      <c r="H92" s="52">
        <f>G92/N92</f>
        <v>41.246178650697942</v>
      </c>
      <c r="I92" s="53" t="s">
        <v>14</v>
      </c>
      <c r="J92" s="53" t="s">
        <v>71</v>
      </c>
      <c r="K92" s="54">
        <v>45</v>
      </c>
      <c r="L92" s="54" t="s">
        <v>35</v>
      </c>
      <c r="M92" s="55">
        <f>INDEX('WEG Motor'!$B$3:$AZ$55,
       MATCH(K92,'WEG Motor'!$A$3:$A$55,0),
       MATCH(L92,'WEG Motor'!$B$2:$AZ$2,0))%</f>
        <v>0.94200000000000006</v>
      </c>
      <c r="N92" s="56">
        <v>0.92</v>
      </c>
      <c r="O92" s="57">
        <v>0.83960000000000001</v>
      </c>
      <c r="P92" s="75">
        <v>4.49</v>
      </c>
      <c r="Q92" s="59">
        <f>ROUNDUP(H92/(C92/10^3),2)</f>
        <v>343.71999999999997</v>
      </c>
      <c r="R92" s="301">
        <v>349</v>
      </c>
      <c r="S92" s="60"/>
      <c r="T92" s="82"/>
      <c r="U92" s="61">
        <f>R92*(C92/10^3)</f>
        <v>41.879999999999995</v>
      </c>
      <c r="W92" s="1" t="s">
        <v>17</v>
      </c>
      <c r="X92" s="3">
        <v>0.92</v>
      </c>
      <c r="Z92" s="1" t="s">
        <v>23</v>
      </c>
      <c r="AA92" s="1">
        <v>7</v>
      </c>
      <c r="AC92" s="4" t="s">
        <v>38</v>
      </c>
    </row>
    <row r="93" spans="1:29" x14ac:dyDescent="0.3">
      <c r="A93" s="299"/>
      <c r="B93" s="302"/>
      <c r="C93" s="305"/>
      <c r="D93" s="18">
        <f>IFERROR(ROUNDUP((U93*$X$3*1000*$X$4*$X$2)/((C92/10^3)*$X$5*$AA$4),2),"")</f>
        <v>24.62</v>
      </c>
      <c r="E93" s="19">
        <v>27</v>
      </c>
      <c r="F93" s="21">
        <f>((($X$5*$AA$4*(C92*0.001)*E93)/1000)/O93)</f>
        <v>36.197069634354712</v>
      </c>
      <c r="G93" s="21">
        <f t="shared" ref="G93:G97" si="44">F93/M93</f>
        <v>38.425763943051706</v>
      </c>
      <c r="H93" s="21">
        <f t="shared" ref="H93:H97" si="45">G93/N93</f>
        <v>41.767134720708377</v>
      </c>
      <c r="I93" s="23" t="s">
        <v>15</v>
      </c>
      <c r="J93" s="23" t="s">
        <v>64</v>
      </c>
      <c r="K93" s="7">
        <v>45</v>
      </c>
      <c r="L93" s="7" t="s">
        <v>35</v>
      </c>
      <c r="M93" s="11">
        <f>INDEX('WEG Motor'!$B$3:$AZ$55,
       MATCH(K93,'WEG Motor'!$A$3:$A$55,0),
       MATCH(L93,'WEG Motor'!$B$2:$AZ$2,0))%</f>
        <v>0.94200000000000006</v>
      </c>
      <c r="N93" s="9">
        <v>0.92</v>
      </c>
      <c r="O93" s="6">
        <v>0.87790000000000001</v>
      </c>
      <c r="P93" s="8">
        <v>3.8769999999999998</v>
      </c>
      <c r="Q93" s="20">
        <f>ROUNDUP(H93/(C92/10^3),2)</f>
        <v>348.06</v>
      </c>
      <c r="R93" s="302"/>
      <c r="S93" s="5"/>
      <c r="T93" s="83"/>
      <c r="U93" s="62">
        <f>R92*(C92/10^3)</f>
        <v>41.879999999999995</v>
      </c>
      <c r="W93" s="1" t="s">
        <v>19</v>
      </c>
      <c r="X93" s="3">
        <v>0.94</v>
      </c>
      <c r="Z93" s="1" t="s">
        <v>24</v>
      </c>
      <c r="AA93" s="1">
        <v>4.1859999999999999</v>
      </c>
    </row>
    <row r="94" spans="1:29" x14ac:dyDescent="0.3">
      <c r="A94" s="299"/>
      <c r="B94" s="302"/>
      <c r="C94" s="305"/>
      <c r="D94" s="18">
        <f>IFERROR(ROUNDUP((U94*$X$3*1000*$X$4*$X$2)/((C92/10^3)*$X$5*$AA$4),2),"")</f>
        <v>24.62</v>
      </c>
      <c r="E94" s="19">
        <v>27</v>
      </c>
      <c r="F94" s="21">
        <f>((($X$5*$AA$4*(C92*0.001)*E94)/1000)/O94)</f>
        <v>36.197069634354712</v>
      </c>
      <c r="G94" s="21">
        <f t="shared" si="44"/>
        <v>38.425763943051706</v>
      </c>
      <c r="H94" s="21">
        <f t="shared" si="45"/>
        <v>41.767134720708377</v>
      </c>
      <c r="I94" s="24" t="s">
        <v>16</v>
      </c>
      <c r="J94" s="24" t="s">
        <v>70</v>
      </c>
      <c r="K94" s="7">
        <v>45</v>
      </c>
      <c r="L94" s="7" t="s">
        <v>35</v>
      </c>
      <c r="M94" s="11">
        <f>INDEX('WEG Motor'!$B$3:$AZ$55,
       MATCH(K94,'WEG Motor'!$A$3:$A$55,0),
       MATCH(L94,'WEG Motor'!$B$2:$AZ$2,0))%</f>
        <v>0.94200000000000006</v>
      </c>
      <c r="N94" s="9">
        <v>0.92</v>
      </c>
      <c r="O94" s="6">
        <v>0.87790000000000001</v>
      </c>
      <c r="P94" s="8">
        <v>3.8809999999999998</v>
      </c>
      <c r="Q94" s="20">
        <f>ROUNDUP(H94/(C92/10^3),2)</f>
        <v>348.06</v>
      </c>
      <c r="R94" s="302"/>
      <c r="S94" s="5"/>
      <c r="T94" s="83"/>
      <c r="U94" s="62">
        <f>R92*(C92/10^3)</f>
        <v>41.879999999999995</v>
      </c>
      <c r="V94" s="10"/>
      <c r="W94" s="1" t="s">
        <v>27</v>
      </c>
      <c r="X94" s="3">
        <v>0.8</v>
      </c>
      <c r="Z94" s="1" t="s">
        <v>28</v>
      </c>
      <c r="AA94" s="1">
        <v>9.81</v>
      </c>
      <c r="AC94" s="2" t="s">
        <v>20</v>
      </c>
    </row>
    <row r="95" spans="1:29" x14ac:dyDescent="0.3">
      <c r="A95" s="299"/>
      <c r="B95" s="302"/>
      <c r="C95" s="305"/>
      <c r="D95" s="18">
        <f>IFERROR(ROUNDUP((U95*$X$3*1000*$X$4*$X$2)/((C92/10^3)*$X$5*$AA$4),2),"")</f>
        <v>24.62</v>
      </c>
      <c r="E95" s="19">
        <v>25.5</v>
      </c>
      <c r="F95" s="21">
        <f>((($X$5*$AA$4*(C92*0.001)*E95)/1000)/O95)</f>
        <v>35.643700603325414</v>
      </c>
      <c r="G95" s="21">
        <f t="shared" si="44"/>
        <v>37.838323358094918</v>
      </c>
      <c r="H95" s="21">
        <f t="shared" si="45"/>
        <v>41.128612345755343</v>
      </c>
      <c r="I95" s="25" t="s">
        <v>30</v>
      </c>
      <c r="J95" s="25" t="s">
        <v>65</v>
      </c>
      <c r="K95" s="7">
        <v>45</v>
      </c>
      <c r="L95" s="7" t="s">
        <v>35</v>
      </c>
      <c r="M95" s="11">
        <f>INDEX('WEG Motor'!$B$3:$AZ$55,
       MATCH(K95,'WEG Motor'!$A$3:$A$55,0),
       MATCH(L95,'WEG Motor'!$B$2:$AZ$2,0))%</f>
        <v>0.94200000000000006</v>
      </c>
      <c r="N95" s="9">
        <v>0.92</v>
      </c>
      <c r="O95" s="6">
        <v>0.84199999999999997</v>
      </c>
      <c r="P95" s="76">
        <v>4.4640000000000004</v>
      </c>
      <c r="Q95" s="20">
        <f>ROUNDUP(H95/(C92/10^3),2)</f>
        <v>342.74</v>
      </c>
      <c r="R95" s="302"/>
      <c r="S95" s="5"/>
      <c r="T95" s="83"/>
      <c r="U95" s="62">
        <f>R92*(C92/10^3)</f>
        <v>41.879999999999995</v>
      </c>
      <c r="V95" s="10"/>
      <c r="W95" s="1" t="s">
        <v>22</v>
      </c>
      <c r="X95" s="1">
        <v>999.78</v>
      </c>
      <c r="Z95" s="1" t="s">
        <v>25</v>
      </c>
      <c r="AA95" s="1" t="s">
        <v>26</v>
      </c>
      <c r="AC95" s="2"/>
    </row>
    <row r="96" spans="1:29" x14ac:dyDescent="0.3">
      <c r="A96" s="299"/>
      <c r="B96" s="302"/>
      <c r="C96" s="305"/>
      <c r="D96" s="18">
        <f>IFERROR(ROUNDUP((U96*$X$3*1000*$X$4*$X$2)/((C92/10^3)*$X$5*$AA$4),2),"")</f>
        <v>24.62</v>
      </c>
      <c r="E96" s="19">
        <v>26.5</v>
      </c>
      <c r="F96" s="21">
        <f>((($X$5*$AA$4*(C92*0.001)*E96)/1000)/O96)</f>
        <v>35.701621936813183</v>
      </c>
      <c r="G96" s="21">
        <f t="shared" si="44"/>
        <v>37.899810973262397</v>
      </c>
      <c r="H96" s="21">
        <f t="shared" si="45"/>
        <v>41.19544671006782</v>
      </c>
      <c r="I96" s="12" t="s">
        <v>18</v>
      </c>
      <c r="J96" s="12" t="s">
        <v>106</v>
      </c>
      <c r="K96" s="7">
        <v>45</v>
      </c>
      <c r="L96" s="7" t="s">
        <v>35</v>
      </c>
      <c r="M96" s="11">
        <f>INDEX('WEG Motor'!$B$3:$AZ$55,
       MATCH(K96,'WEG Motor'!$A$3:$A$55,0),
       MATCH(L96,'WEG Motor'!$B$2:$AZ$2,0))%</f>
        <v>0.94200000000000006</v>
      </c>
      <c r="N96" s="9">
        <v>0.92</v>
      </c>
      <c r="O96" s="6">
        <v>0.87360000000000004</v>
      </c>
      <c r="P96" s="76">
        <v>3.8</v>
      </c>
      <c r="Q96" s="37">
        <f>ROUNDUP(H96/(C92/10^3),2)</f>
        <v>343.3</v>
      </c>
      <c r="R96" s="302"/>
      <c r="S96" s="5"/>
      <c r="T96" s="83"/>
      <c r="U96" s="62">
        <f>R92*(C92/10^3)</f>
        <v>41.879999999999995</v>
      </c>
      <c r="V96" s="10"/>
      <c r="Z96" s="1">
        <v>1</v>
      </c>
      <c r="AA96" s="1">
        <v>3.5169999999999999</v>
      </c>
      <c r="AC96" s="2" t="s">
        <v>21</v>
      </c>
    </row>
    <row r="97" spans="1:29" ht="15" thickBot="1" x14ac:dyDescent="0.35">
      <c r="A97" s="300"/>
      <c r="B97" s="303"/>
      <c r="C97" s="306"/>
      <c r="D97" s="63">
        <f>IFERROR(ROUNDUP((U97*$X$3*1000*$X$4*$X$2)/((C92/10^3)*$X$5*$AA$4),2),"")</f>
        <v>24.62</v>
      </c>
      <c r="E97" s="64">
        <v>26.5</v>
      </c>
      <c r="F97" s="65">
        <f>((($X$5*$AA$4*(C92*0.001)*E97)/1000)/O97)</f>
        <v>35.701621936813183</v>
      </c>
      <c r="G97" s="65">
        <f t="shared" si="44"/>
        <v>37.899810973262397</v>
      </c>
      <c r="H97" s="65">
        <f t="shared" si="45"/>
        <v>41.19544671006782</v>
      </c>
      <c r="I97" s="66" t="s">
        <v>32</v>
      </c>
      <c r="J97" s="66" t="s">
        <v>107</v>
      </c>
      <c r="K97" s="67">
        <v>45</v>
      </c>
      <c r="L97" s="67" t="s">
        <v>35</v>
      </c>
      <c r="M97" s="68">
        <f>INDEX('WEG Motor'!$B$3:$AZ$55,
       MATCH(K97,'WEG Motor'!$A$3:$A$55,0),
       MATCH(L97,'WEG Motor'!$B$2:$AZ$2,0))%</f>
        <v>0.94200000000000006</v>
      </c>
      <c r="N97" s="69">
        <v>0.92</v>
      </c>
      <c r="O97" s="70">
        <v>0.87360000000000004</v>
      </c>
      <c r="P97" s="117">
        <v>3.8</v>
      </c>
      <c r="Q97" s="121">
        <f>ROUNDUP(H97/(C92/10^3),2)</f>
        <v>343.3</v>
      </c>
      <c r="R97" s="303"/>
      <c r="S97" s="73"/>
      <c r="T97" s="84"/>
      <c r="U97" s="74">
        <f>R92*(C92/10^3)</f>
        <v>41.879999999999995</v>
      </c>
    </row>
    <row r="98" spans="1:29" x14ac:dyDescent="0.3">
      <c r="A98" s="298">
        <v>16</v>
      </c>
      <c r="B98" s="301">
        <v>1050</v>
      </c>
      <c r="C98" s="304">
        <f t="shared" ref="C98" si="46" xml:space="preserve"> ROUND((B98 * $AA$6 * 1000) / ($X$5*$AA$2*$AA$3),0)</f>
        <v>126</v>
      </c>
      <c r="D98" s="50">
        <f>IFERROR(ROUNDUP((U98*$X$3*1000*$X$4*$X$2)/((C98/10^3)*$X$5*$AA$4),2),"")</f>
        <v>24.62</v>
      </c>
      <c r="E98" s="51">
        <v>25.5</v>
      </c>
      <c r="F98" s="52">
        <f>((($X$5*$AA$4*(C98*0.001)*E98)/1000)/O98)</f>
        <v>37.694492468181821</v>
      </c>
      <c r="G98" s="52">
        <f>F98/M98</f>
        <v>40.015384785755643</v>
      </c>
      <c r="H98" s="52">
        <f>G98/N98</f>
        <v>43.494983462777874</v>
      </c>
      <c r="I98" s="53" t="s">
        <v>14</v>
      </c>
      <c r="J98" s="53" t="s">
        <v>71</v>
      </c>
      <c r="K98" s="54">
        <v>45</v>
      </c>
      <c r="L98" s="54" t="s">
        <v>35</v>
      </c>
      <c r="M98" s="55">
        <f>INDEX('WEG Motor'!$B$3:$AZ$55,
       MATCH(K98,'WEG Motor'!$A$3:$A$55,0),
       MATCH(L98,'WEG Motor'!$B$2:$AZ$2,0))%</f>
        <v>0.94200000000000006</v>
      </c>
      <c r="N98" s="56">
        <v>0.92</v>
      </c>
      <c r="O98" s="57">
        <v>0.83599999999999997</v>
      </c>
      <c r="P98" s="58">
        <v>4.9020000000000001</v>
      </c>
      <c r="Q98" s="59">
        <f>ROUNDUP(H98/(C98/10^3),2)</f>
        <v>345.2</v>
      </c>
      <c r="R98" s="301">
        <v>349</v>
      </c>
      <c r="S98" s="60"/>
      <c r="T98" s="82"/>
      <c r="U98" s="61">
        <f>R98*(C98/10^3)</f>
        <v>43.974000000000004</v>
      </c>
      <c r="W98" s="1" t="s">
        <v>17</v>
      </c>
      <c r="X98" s="3">
        <v>0.92</v>
      </c>
      <c r="Z98" s="1" t="s">
        <v>23</v>
      </c>
      <c r="AA98" s="1">
        <v>7</v>
      </c>
      <c r="AC98" s="4" t="s">
        <v>38</v>
      </c>
    </row>
    <row r="99" spans="1:29" x14ac:dyDescent="0.3">
      <c r="A99" s="299"/>
      <c r="B99" s="302"/>
      <c r="C99" s="305"/>
      <c r="D99" s="18">
        <f>IFERROR(ROUNDUP((U99*$X$3*1000*$X$4*$X$2)/((C98/10^3)*$X$5*$AA$4),2),"")</f>
        <v>24.62</v>
      </c>
      <c r="E99" s="19">
        <v>27</v>
      </c>
      <c r="F99" s="21">
        <f>((($X$5*$AA$4*(C98*0.001)*E99)/1000)/O99)</f>
        <v>38.076318388223214</v>
      </c>
      <c r="G99" s="21">
        <f t="shared" ref="G99:G103" si="47">F99/M99</f>
        <v>40.420720157349479</v>
      </c>
      <c r="H99" s="21">
        <f t="shared" ref="H99:H103" si="48">G99/N99</f>
        <v>43.935565388423342</v>
      </c>
      <c r="I99" s="23" t="s">
        <v>15</v>
      </c>
      <c r="J99" s="23" t="s">
        <v>64</v>
      </c>
      <c r="K99" s="7">
        <v>45</v>
      </c>
      <c r="L99" s="7" t="s">
        <v>35</v>
      </c>
      <c r="M99" s="11">
        <f>INDEX('WEG Motor'!$B$3:$AZ$55,
       MATCH(K99,'WEG Motor'!$A$3:$A$55,0),
       MATCH(L99,'WEG Motor'!$B$2:$AZ$2,0))%</f>
        <v>0.94200000000000006</v>
      </c>
      <c r="N99" s="9">
        <v>0.92</v>
      </c>
      <c r="O99" s="6">
        <v>0.87629999999999997</v>
      </c>
      <c r="P99" s="8">
        <v>4.1619999999999999</v>
      </c>
      <c r="Q99" s="37">
        <f>ROUNDUP(H99/(C98/10^3),2)</f>
        <v>348.7</v>
      </c>
      <c r="R99" s="302"/>
      <c r="S99" s="5"/>
      <c r="T99" s="83"/>
      <c r="U99" s="62">
        <f>R98*(C98/10^3)</f>
        <v>43.974000000000004</v>
      </c>
      <c r="W99" s="1" t="s">
        <v>19</v>
      </c>
      <c r="X99" s="3">
        <v>0.94</v>
      </c>
      <c r="Z99" s="1" t="s">
        <v>24</v>
      </c>
      <c r="AA99" s="1">
        <v>4.1859999999999999</v>
      </c>
    </row>
    <row r="100" spans="1:29" x14ac:dyDescent="0.3">
      <c r="A100" s="299"/>
      <c r="B100" s="302"/>
      <c r="C100" s="305"/>
      <c r="D100" s="18">
        <f>IFERROR(ROUNDUP((U100*$X$3*1000*$X$4*$X$2)/((C98/10^3)*$X$5*$AA$4),2),"")</f>
        <v>24.62</v>
      </c>
      <c r="E100" s="19">
        <v>27</v>
      </c>
      <c r="F100" s="21">
        <f>((($X$5*$AA$4*(C98*0.001)*E100)/1000)/O100)</f>
        <v>38.076318388223214</v>
      </c>
      <c r="G100" s="21">
        <f t="shared" si="47"/>
        <v>40.420720157349479</v>
      </c>
      <c r="H100" s="21">
        <f t="shared" si="48"/>
        <v>43.935565388423342</v>
      </c>
      <c r="I100" s="24" t="s">
        <v>16</v>
      </c>
      <c r="J100" s="24" t="s">
        <v>70</v>
      </c>
      <c r="K100" s="7">
        <v>45</v>
      </c>
      <c r="L100" s="7" t="s">
        <v>35</v>
      </c>
      <c r="M100" s="11">
        <f>INDEX('WEG Motor'!$B$3:$AZ$55,
       MATCH(K100,'WEG Motor'!$A$3:$A$55,0),
       MATCH(L100,'WEG Motor'!$B$2:$AZ$2,0))%</f>
        <v>0.94200000000000006</v>
      </c>
      <c r="N100" s="9">
        <v>0.92</v>
      </c>
      <c r="O100" s="6">
        <v>0.87629999999999997</v>
      </c>
      <c r="P100" s="8">
        <v>4.1669999999999998</v>
      </c>
      <c r="Q100" s="37">
        <f>ROUNDUP(H100/(C98/10^3),2)</f>
        <v>348.7</v>
      </c>
      <c r="R100" s="302"/>
      <c r="S100" s="5"/>
      <c r="T100" s="83"/>
      <c r="U100" s="62">
        <f>R98*(C98/10^3)</f>
        <v>43.974000000000004</v>
      </c>
      <c r="V100" s="10"/>
      <c r="W100" s="1" t="s">
        <v>27</v>
      </c>
      <c r="X100" s="3">
        <v>0.8</v>
      </c>
      <c r="Z100" s="1" t="s">
        <v>28</v>
      </c>
      <c r="AA100" s="1">
        <v>9.81</v>
      </c>
      <c r="AC100" s="2" t="s">
        <v>20</v>
      </c>
    </row>
    <row r="101" spans="1:29" x14ac:dyDescent="0.3">
      <c r="A101" s="299"/>
      <c r="B101" s="302"/>
      <c r="C101" s="305"/>
      <c r="D101" s="18">
        <f>IFERROR(ROUNDUP((U101*$X$3*1000*$X$4*$X$2)/((C98/10^3)*$X$5*$AA$4),2),"")</f>
        <v>24.62</v>
      </c>
      <c r="E101" s="19">
        <v>25.5</v>
      </c>
      <c r="F101" s="21">
        <f>((($X$5*$AA$4*(C98*0.001)*E101)/1000)/O101)</f>
        <v>37.635967638122537</v>
      </c>
      <c r="G101" s="21">
        <f t="shared" si="47"/>
        <v>39.953256516053649</v>
      </c>
      <c r="H101" s="21">
        <f t="shared" si="48"/>
        <v>43.427452734840919</v>
      </c>
      <c r="I101" s="25" t="s">
        <v>30</v>
      </c>
      <c r="J101" s="25" t="s">
        <v>65</v>
      </c>
      <c r="K101" s="7">
        <v>45</v>
      </c>
      <c r="L101" s="7" t="s">
        <v>35</v>
      </c>
      <c r="M101" s="11">
        <f>INDEX('WEG Motor'!$B$3:$AZ$55,
       MATCH(K101,'WEG Motor'!$A$3:$A$55,0),
       MATCH(L101,'WEG Motor'!$B$2:$AZ$2,0))%</f>
        <v>0.94200000000000006</v>
      </c>
      <c r="N101" s="9">
        <v>0.92</v>
      </c>
      <c r="O101" s="6">
        <v>0.83730000000000004</v>
      </c>
      <c r="P101" s="8">
        <v>4.851</v>
      </c>
      <c r="Q101" s="20">
        <f>ROUNDUP(H101/(C98/10^3),2)</f>
        <v>344.67</v>
      </c>
      <c r="R101" s="302"/>
      <c r="S101" s="5"/>
      <c r="T101" s="83"/>
      <c r="U101" s="62">
        <f>R98*(C98/10^3)</f>
        <v>43.974000000000004</v>
      </c>
      <c r="V101" s="10"/>
      <c r="W101" s="1" t="s">
        <v>22</v>
      </c>
      <c r="X101" s="1">
        <v>999.78</v>
      </c>
      <c r="Z101" s="1" t="s">
        <v>25</v>
      </c>
      <c r="AA101" s="1" t="s">
        <v>26</v>
      </c>
      <c r="AC101" s="2"/>
    </row>
    <row r="102" spans="1:29" x14ac:dyDescent="0.3">
      <c r="A102" s="299"/>
      <c r="B102" s="302"/>
      <c r="C102" s="305"/>
      <c r="D102" s="18">
        <f>IFERROR(ROUNDUP((U102*$X$3*1000*$X$4*$X$2)/((C98/10^3)*$X$5*$AA$4),2),"")</f>
        <v>24.62</v>
      </c>
      <c r="E102" s="19">
        <v>26.5</v>
      </c>
      <c r="F102" s="21">
        <f>((($X$5*$AA$4*(C98*0.001)*E102)/1000)/O102)</f>
        <v>37.431002137615728</v>
      </c>
      <c r="G102" s="21">
        <f t="shared" si="47"/>
        <v>39.735671059040051</v>
      </c>
      <c r="H102" s="21">
        <f t="shared" si="48"/>
        <v>43.190946803304399</v>
      </c>
      <c r="I102" s="12" t="s">
        <v>18</v>
      </c>
      <c r="J102" s="12" t="s">
        <v>106</v>
      </c>
      <c r="K102" s="7">
        <v>45</v>
      </c>
      <c r="L102" s="7" t="s">
        <v>35</v>
      </c>
      <c r="M102" s="11">
        <f>INDEX('WEG Motor'!$B$3:$AZ$55,
       MATCH(K102,'WEG Motor'!$A$3:$A$55,0),
       MATCH(L102,'WEG Motor'!$B$2:$AZ$2,0))%</f>
        <v>0.94200000000000006</v>
      </c>
      <c r="N102" s="9">
        <v>0.92</v>
      </c>
      <c r="O102" s="6">
        <v>0.87490000000000001</v>
      </c>
      <c r="P102" s="76">
        <v>4.0199999999999996</v>
      </c>
      <c r="Q102" s="20">
        <f>ROUNDUP(H102/(C98/10^3),2)</f>
        <v>342.78999999999996</v>
      </c>
      <c r="R102" s="302"/>
      <c r="S102" s="5"/>
      <c r="T102" s="83"/>
      <c r="U102" s="62">
        <f>R98*(C98/10^3)</f>
        <v>43.974000000000004</v>
      </c>
      <c r="V102" s="10"/>
      <c r="Z102" s="1">
        <v>1</v>
      </c>
      <c r="AA102" s="1">
        <v>3.5169999999999999</v>
      </c>
      <c r="AC102" s="2" t="s">
        <v>21</v>
      </c>
    </row>
    <row r="103" spans="1:29" ht="15" thickBot="1" x14ac:dyDescent="0.35">
      <c r="A103" s="300"/>
      <c r="B103" s="303"/>
      <c r="C103" s="306"/>
      <c r="D103" s="63">
        <f>IFERROR(ROUNDUP((U103*$X$3*1000*$X$4*$X$2)/((C98/10^3)*$X$5*$AA$4),2),"")</f>
        <v>24.62</v>
      </c>
      <c r="E103" s="64">
        <v>26.5</v>
      </c>
      <c r="F103" s="65">
        <f>((($X$5*$AA$4*(C98*0.001)*E103)/1000)/O103)</f>
        <v>37.431002137615728</v>
      </c>
      <c r="G103" s="65">
        <f t="shared" si="47"/>
        <v>39.735671059040051</v>
      </c>
      <c r="H103" s="65">
        <f t="shared" si="48"/>
        <v>43.190946803304399</v>
      </c>
      <c r="I103" s="66" t="s">
        <v>32</v>
      </c>
      <c r="J103" s="66" t="s">
        <v>107</v>
      </c>
      <c r="K103" s="67">
        <v>45</v>
      </c>
      <c r="L103" s="67" t="s">
        <v>35</v>
      </c>
      <c r="M103" s="68">
        <f>INDEX('WEG Motor'!$B$3:$AZ$55,
       MATCH(K103,'WEG Motor'!$A$3:$A$55,0),
       MATCH(L103,'WEG Motor'!$B$2:$AZ$2,0))%</f>
        <v>0.94200000000000006</v>
      </c>
      <c r="N103" s="69">
        <v>0.92</v>
      </c>
      <c r="O103" s="70">
        <v>0.87490000000000001</v>
      </c>
      <c r="P103" s="117">
        <v>4.0199999999999996</v>
      </c>
      <c r="Q103" s="72">
        <f>ROUNDUP(H103/(C98/10^3),2)</f>
        <v>342.78999999999996</v>
      </c>
      <c r="R103" s="303"/>
      <c r="S103" s="73"/>
      <c r="T103" s="84"/>
      <c r="U103" s="74">
        <f>R98*(C98/10^3)</f>
        <v>43.974000000000004</v>
      </c>
    </row>
    <row r="104" spans="1:29" ht="28.8" x14ac:dyDescent="0.3">
      <c r="A104" s="298">
        <v>17</v>
      </c>
      <c r="B104" s="301">
        <v>1100</v>
      </c>
      <c r="C104" s="304">
        <f t="shared" ref="C104" si="49" xml:space="preserve"> ROUND((B104 * $AA$6 * 1000) / ($X$5*$AA$2*$AA$3),0)</f>
        <v>132</v>
      </c>
      <c r="D104" s="50">
        <f>IFERROR(ROUNDUP((U104*$X$3*1000*$X$4*$X$2)/((C104/10^3)*$X$5*$AA$4),2),"")</f>
        <v>24.62</v>
      </c>
      <c r="E104" s="51">
        <v>25.5</v>
      </c>
      <c r="F104" s="52">
        <f>((($X$5*$AA$4*(C104*0.001)*E104)/1000)/O104)</f>
        <v>39.703181598075766</v>
      </c>
      <c r="G104" s="52">
        <f>F104/M104</f>
        <v>42.14775116568552</v>
      </c>
      <c r="H104" s="52">
        <f>G104/N104</f>
        <v>45.81277300617991</v>
      </c>
      <c r="I104" s="53" t="s">
        <v>14</v>
      </c>
      <c r="J104" s="53" t="s">
        <v>71</v>
      </c>
      <c r="K104" s="54">
        <v>45</v>
      </c>
      <c r="L104" s="54" t="s">
        <v>35</v>
      </c>
      <c r="M104" s="55">
        <f>INDEX('WEG Motor'!$B$3:$AZ$55,
       MATCH(K104,'WEG Motor'!$A$3:$A$55,0),
       MATCH(L104,'WEG Motor'!$B$2:$AZ$2,0))%</f>
        <v>0.94200000000000006</v>
      </c>
      <c r="N104" s="56">
        <v>0.92</v>
      </c>
      <c r="O104" s="57">
        <v>0.83150000000000002</v>
      </c>
      <c r="P104" s="75">
        <v>5.35</v>
      </c>
      <c r="Q104" s="59">
        <f>ROUNDUP(H104/(C104/10^3),2)</f>
        <v>347.07</v>
      </c>
      <c r="R104" s="301">
        <v>349</v>
      </c>
      <c r="S104" s="60"/>
      <c r="T104" s="82" t="s">
        <v>94</v>
      </c>
      <c r="U104" s="61">
        <f>R104*(C104/10^3)</f>
        <v>46.068000000000005</v>
      </c>
      <c r="W104" s="1" t="s">
        <v>17</v>
      </c>
      <c r="X104" s="3">
        <v>0.92</v>
      </c>
      <c r="Z104" s="1" t="s">
        <v>23</v>
      </c>
      <c r="AA104" s="1">
        <v>7</v>
      </c>
      <c r="AC104" s="4" t="s">
        <v>38</v>
      </c>
    </row>
    <row r="105" spans="1:29" x14ac:dyDescent="0.3">
      <c r="A105" s="299"/>
      <c r="B105" s="302"/>
      <c r="C105" s="305"/>
      <c r="D105" s="18">
        <f>IFERROR(ROUNDUP((U105*$X$3*1000*$X$4*$X$2)/((C104/10^3)*$X$5*$AA$4),2),"")</f>
        <v>24.62</v>
      </c>
      <c r="E105" s="19">
        <v>26.5</v>
      </c>
      <c r="F105" s="21">
        <f>((($X$5*$AA$4*(C104*0.001)*E105)/1000)/O105)</f>
        <v>39.303277141024175</v>
      </c>
      <c r="G105" s="21">
        <f t="shared" ref="G105:G109" si="50">F105/M105</f>
        <v>41.723224141214622</v>
      </c>
      <c r="H105" s="21">
        <f t="shared" ref="H105:H109" si="51">G105/N105</f>
        <v>45.35133058827676</v>
      </c>
      <c r="I105" s="94" t="s">
        <v>15</v>
      </c>
      <c r="J105" s="88" t="s">
        <v>64</v>
      </c>
      <c r="K105" s="89">
        <v>45</v>
      </c>
      <c r="L105" s="89" t="s">
        <v>35</v>
      </c>
      <c r="M105" s="90">
        <f>INDEX('WEG Motor'!$B$3:$AZ$55,
       MATCH(K105,'WEG Motor'!$A$3:$A$55,0),
       MATCH(L105,'WEG Motor'!$B$2:$AZ$2,0))%</f>
        <v>0.94200000000000006</v>
      </c>
      <c r="N105" s="91">
        <v>0.92</v>
      </c>
      <c r="O105" s="92">
        <v>0.87290000000000001</v>
      </c>
      <c r="P105" s="93">
        <v>4.5170000000000003</v>
      </c>
      <c r="Q105" s="20">
        <f>ROUNDUP(H105/(C104/10^3),2)</f>
        <v>343.58</v>
      </c>
      <c r="R105" s="302"/>
      <c r="S105" s="5"/>
      <c r="T105" s="83"/>
      <c r="U105" s="111">
        <f>R104*(C104/10^3)</f>
        <v>46.068000000000005</v>
      </c>
      <c r="W105" s="1" t="s">
        <v>19</v>
      </c>
      <c r="X105" s="3">
        <v>0.94</v>
      </c>
      <c r="Z105" s="1" t="s">
        <v>24</v>
      </c>
      <c r="AA105" s="1">
        <v>4.1859999999999999</v>
      </c>
    </row>
    <row r="106" spans="1:29" x14ac:dyDescent="0.3">
      <c r="A106" s="299"/>
      <c r="B106" s="302"/>
      <c r="C106" s="305"/>
      <c r="D106" s="18">
        <f>IFERROR(ROUNDUP((U106*$X$3*1000*$X$4*$X$2)/((C104/10^3)*$X$5*$AA$4),2),"")</f>
        <v>24.62</v>
      </c>
      <c r="E106" s="19">
        <v>25.5</v>
      </c>
      <c r="F106" s="21">
        <f>((($X$5*$AA$4*(C104*0.001)*E106)/1000)/O106)</f>
        <v>39.818110600410087</v>
      </c>
      <c r="G106" s="21">
        <f t="shared" si="50"/>
        <v>42.269756476019197</v>
      </c>
      <c r="H106" s="21">
        <f t="shared" si="51"/>
        <v>45.945387473933906</v>
      </c>
      <c r="I106" s="24" t="s">
        <v>16</v>
      </c>
      <c r="J106" s="24" t="s">
        <v>76</v>
      </c>
      <c r="K106" s="7">
        <v>45</v>
      </c>
      <c r="L106" s="7" t="s">
        <v>35</v>
      </c>
      <c r="M106" s="11">
        <f>INDEX('WEG Motor'!$B$3:$AZ$55,
       MATCH(K106,'WEG Motor'!$A$3:$A$55,0),
       MATCH(L106,'WEG Motor'!$B$2:$AZ$2,0))%</f>
        <v>0.94200000000000006</v>
      </c>
      <c r="N106" s="9">
        <v>0.92</v>
      </c>
      <c r="O106" s="6">
        <v>0.82909999999999995</v>
      </c>
      <c r="P106" s="8">
        <v>3.2949999999999999</v>
      </c>
      <c r="Q106" s="20">
        <f>ROUNDUP(H106/(C104/10^3),2)</f>
        <v>348.08</v>
      </c>
      <c r="R106" s="302"/>
      <c r="S106" s="5"/>
      <c r="T106" s="83"/>
      <c r="U106" s="62">
        <f>R104*(C104/10^3)</f>
        <v>46.068000000000005</v>
      </c>
      <c r="V106" s="10"/>
      <c r="W106" s="1" t="s">
        <v>27</v>
      </c>
      <c r="X106" s="3">
        <v>0.8</v>
      </c>
      <c r="Z106" s="1" t="s">
        <v>28</v>
      </c>
      <c r="AA106" s="1">
        <v>9.81</v>
      </c>
      <c r="AC106" s="2" t="s">
        <v>20</v>
      </c>
    </row>
    <row r="107" spans="1:29" ht="28.8" x14ac:dyDescent="0.3">
      <c r="A107" s="299"/>
      <c r="B107" s="302"/>
      <c r="C107" s="305"/>
      <c r="D107" s="18">
        <f>IFERROR(ROUNDUP((U107*$X$3*1000*$X$4*$X$2)/((C104/10^3)*$X$5*$AA$4),2),"")</f>
        <v>24.62</v>
      </c>
      <c r="E107" s="19">
        <v>25.5</v>
      </c>
      <c r="F107" s="21">
        <f>((($X$5*$AA$4*(C104*0.001)*E107)/1000)/O107)</f>
        <v>39.679321512980771</v>
      </c>
      <c r="G107" s="21">
        <f t="shared" si="50"/>
        <v>42.1224219883023</v>
      </c>
      <c r="H107" s="21">
        <f t="shared" si="51"/>
        <v>45.785241291632936</v>
      </c>
      <c r="I107" s="25" t="s">
        <v>30</v>
      </c>
      <c r="J107" s="25" t="s">
        <v>65</v>
      </c>
      <c r="K107" s="7">
        <v>45</v>
      </c>
      <c r="L107" s="7" t="s">
        <v>35</v>
      </c>
      <c r="M107" s="11">
        <f>INDEX('WEG Motor'!$B$3:$AZ$55,
       MATCH(K107,'WEG Motor'!$A$3:$A$55,0),
       MATCH(L107,'WEG Motor'!$B$2:$AZ$2,0))%</f>
        <v>0.94200000000000006</v>
      </c>
      <c r="N107" s="9">
        <v>0.92</v>
      </c>
      <c r="O107" s="6">
        <v>0.83199999999999996</v>
      </c>
      <c r="P107" s="8">
        <v>5.2939999999999996</v>
      </c>
      <c r="Q107" s="20">
        <f>ROUNDUP(H107/(C104/10^3),2)</f>
        <v>346.86</v>
      </c>
      <c r="R107" s="302"/>
      <c r="S107" s="5"/>
      <c r="T107" s="134" t="s">
        <v>95</v>
      </c>
      <c r="U107" s="62">
        <f>R104*(C104/10^3)</f>
        <v>46.068000000000005</v>
      </c>
      <c r="V107" s="10"/>
      <c r="W107" s="1" t="s">
        <v>22</v>
      </c>
      <c r="X107" s="1">
        <v>999.78</v>
      </c>
      <c r="Z107" s="1" t="s">
        <v>25</v>
      </c>
      <c r="AA107" s="1" t="s">
        <v>26</v>
      </c>
      <c r="AC107" s="2"/>
    </row>
    <row r="108" spans="1:29" ht="28.8" x14ac:dyDescent="0.3">
      <c r="A108" s="299"/>
      <c r="B108" s="302"/>
      <c r="C108" s="305"/>
      <c r="D108" s="18">
        <f>IFERROR(ROUNDUP((U108*$X$3*1000*$X$4*$X$2)/((C104/10^3)*$X$5*$AA$4),2),"")</f>
        <v>24.62</v>
      </c>
      <c r="E108" s="19">
        <v>26.5</v>
      </c>
      <c r="F108" s="21">
        <f>((($X$5*$AA$4*(C104*0.001)*E108)/1000)/O108)</f>
        <v>39.253810773913045</v>
      </c>
      <c r="G108" s="21">
        <f t="shared" si="50"/>
        <v>41.670712074217668</v>
      </c>
      <c r="H108" s="21">
        <f t="shared" si="51"/>
        <v>45.294252254584421</v>
      </c>
      <c r="I108" s="120" t="s">
        <v>18</v>
      </c>
      <c r="J108" s="118" t="s">
        <v>106</v>
      </c>
      <c r="K108" s="89">
        <v>45</v>
      </c>
      <c r="L108" s="89" t="s">
        <v>35</v>
      </c>
      <c r="M108" s="90">
        <f>INDEX('WEG Motor'!$B$3:$AZ$55,
       MATCH(K108,'WEG Motor'!$A$3:$A$55,0),
       MATCH(L108,'WEG Motor'!$B$2:$AZ$2,0))%</f>
        <v>0.94200000000000006</v>
      </c>
      <c r="N108" s="91">
        <v>0.92</v>
      </c>
      <c r="O108" s="92">
        <v>0.874</v>
      </c>
      <c r="P108" s="119">
        <v>4.26</v>
      </c>
      <c r="Q108" s="96">
        <f>ROUNDUP(H108/(C104/10^3),2)</f>
        <v>343.14</v>
      </c>
      <c r="R108" s="302"/>
      <c r="S108" s="5"/>
      <c r="T108" s="83" t="s">
        <v>98</v>
      </c>
      <c r="U108" s="62">
        <f>R104*(C104/10^3)</f>
        <v>46.068000000000005</v>
      </c>
      <c r="V108" s="10"/>
      <c r="Z108" s="1">
        <v>1</v>
      </c>
      <c r="AA108" s="1">
        <v>3.5169999999999999</v>
      </c>
      <c r="AC108" s="2" t="s">
        <v>21</v>
      </c>
    </row>
    <row r="109" spans="1:29" ht="29.4" thickBot="1" x14ac:dyDescent="0.35">
      <c r="A109" s="300"/>
      <c r="B109" s="303"/>
      <c r="C109" s="306"/>
      <c r="D109" s="63">
        <f>IFERROR(ROUNDUP((U109*$X$3*1000*$X$4*$X$2)/((C104/10^3)*$X$5*$AA$4),2),"")</f>
        <v>24.62</v>
      </c>
      <c r="E109" s="64">
        <v>26.5</v>
      </c>
      <c r="F109" s="65">
        <f>((($X$5*$AA$4*(C104*0.001)*E109)/1000)/O109)</f>
        <v>39.253810773913045</v>
      </c>
      <c r="G109" s="65">
        <f t="shared" si="50"/>
        <v>41.670712074217668</v>
      </c>
      <c r="H109" s="65">
        <f t="shared" si="51"/>
        <v>45.294252254584421</v>
      </c>
      <c r="I109" s="122" t="s">
        <v>32</v>
      </c>
      <c r="J109" s="123" t="s">
        <v>107</v>
      </c>
      <c r="K109" s="124">
        <v>45</v>
      </c>
      <c r="L109" s="124" t="s">
        <v>35</v>
      </c>
      <c r="M109" s="125">
        <f>INDEX('WEG Motor'!$B$3:$AZ$55,
       MATCH(K109,'WEG Motor'!$A$3:$A$55,0),
       MATCH(L109,'WEG Motor'!$B$2:$AZ$2,0))%</f>
        <v>0.94200000000000006</v>
      </c>
      <c r="N109" s="126">
        <v>0.92</v>
      </c>
      <c r="O109" s="127">
        <v>0.874</v>
      </c>
      <c r="P109" s="128">
        <v>4.26</v>
      </c>
      <c r="Q109" s="131">
        <f>ROUNDUP(H109/(C104/10^3),2)</f>
        <v>343.14</v>
      </c>
      <c r="R109" s="303"/>
      <c r="S109" s="73"/>
      <c r="T109" s="84" t="s">
        <v>98</v>
      </c>
      <c r="U109" s="74">
        <f>R104*(C104/10^3)</f>
        <v>46.068000000000005</v>
      </c>
    </row>
    <row r="110" spans="1:29" ht="28.8" x14ac:dyDescent="0.3">
      <c r="A110" s="298">
        <v>18</v>
      </c>
      <c r="B110" s="301">
        <v>1150</v>
      </c>
      <c r="C110" s="304">
        <f t="shared" ref="C110" si="52" xml:space="preserve"> ROUND((B110 * $AA$6 * 1000) / ($X$5*$AA$2*$AA$3),0)</f>
        <v>138</v>
      </c>
      <c r="D110" s="50">
        <f>IFERROR(ROUNDUP((U110*$X$3*1000*$X$4*$X$2)/((C110/10^3)*$X$5*$AA$4),2),"")</f>
        <v>24.62</v>
      </c>
      <c r="E110" s="51">
        <v>25</v>
      </c>
      <c r="F110" s="52">
        <f>((($X$5*$AA$4*(C110*0.001)*E110)/1000)/O110)</f>
        <v>41.024556510669264</v>
      </c>
      <c r="G110" s="52">
        <f>F110/M110</f>
        <v>43.550484618544864</v>
      </c>
      <c r="H110" s="52">
        <f>G110/N110</f>
        <v>47.337483281027026</v>
      </c>
      <c r="I110" s="99" t="s">
        <v>14</v>
      </c>
      <c r="J110" s="99" t="s">
        <v>71</v>
      </c>
      <c r="K110" s="101">
        <v>45</v>
      </c>
      <c r="L110" s="101" t="s">
        <v>35</v>
      </c>
      <c r="M110" s="102">
        <f>INDEX('WEG Motor'!$B$3:$AZ$55,
       MATCH(K110,'WEG Motor'!$A$3:$A$55,0),
       MATCH(L110,'WEG Motor'!$B$2:$AZ$2,0))%</f>
        <v>0.94200000000000006</v>
      </c>
      <c r="N110" s="103">
        <v>0.92</v>
      </c>
      <c r="O110" s="104">
        <v>0.82479999999999998</v>
      </c>
      <c r="P110" s="105">
        <v>5.8650000000000002</v>
      </c>
      <c r="Q110" s="106">
        <f>ROUNDUP(H110/(C110/10^3),2)</f>
        <v>343.03</v>
      </c>
      <c r="R110" s="301">
        <v>349</v>
      </c>
      <c r="S110" s="60"/>
      <c r="T110" s="82" t="s">
        <v>94</v>
      </c>
      <c r="U110" s="110">
        <f>R110*(C110/10^3)</f>
        <v>48.162000000000006</v>
      </c>
      <c r="W110" s="1" t="s">
        <v>17</v>
      </c>
      <c r="X110" s="3">
        <v>0.92</v>
      </c>
      <c r="Z110" s="1" t="s">
        <v>23</v>
      </c>
      <c r="AA110" s="1">
        <v>7</v>
      </c>
      <c r="AC110" s="4" t="s">
        <v>38</v>
      </c>
    </row>
    <row r="111" spans="1:29" x14ac:dyDescent="0.3">
      <c r="A111" s="299"/>
      <c r="B111" s="302"/>
      <c r="C111" s="305"/>
      <c r="D111" s="18">
        <f>IFERROR(ROUNDUP((U111*$X$3*1000*$X$4*$X$2)/((C110/10^3)*$X$5*$AA$4),2),"")</f>
        <v>24.62</v>
      </c>
      <c r="E111" s="19">
        <v>26.5</v>
      </c>
      <c r="F111" s="21">
        <f>((($X$5*$AA$4*(C110*0.001)*E111)/1000)/O111)</f>
        <v>41.226755704137929</v>
      </c>
      <c r="G111" s="21">
        <f t="shared" ref="G111:G115" si="53">F111/M111</f>
        <v>43.765133443883151</v>
      </c>
      <c r="H111" s="21">
        <f t="shared" ref="H111:H115" si="54">G111/N111</f>
        <v>47.570797221612118</v>
      </c>
      <c r="I111" s="94" t="s">
        <v>15</v>
      </c>
      <c r="J111" s="88" t="s">
        <v>64</v>
      </c>
      <c r="K111" s="89">
        <v>45</v>
      </c>
      <c r="L111" s="89" t="s">
        <v>35</v>
      </c>
      <c r="M111" s="90">
        <f>INDEX('WEG Motor'!$B$3:$AZ$55,
       MATCH(K111,'WEG Motor'!$A$3:$A$55,0),
       MATCH(L111,'WEG Motor'!$B$2:$AZ$2,0))%</f>
        <v>0.94200000000000006</v>
      </c>
      <c r="N111" s="91">
        <v>0.92</v>
      </c>
      <c r="O111" s="92">
        <v>0.87</v>
      </c>
      <c r="P111" s="95">
        <v>4.9550000000000001</v>
      </c>
      <c r="Q111" s="96">
        <f>ROUNDUP(H111/(C110/10^3),2)</f>
        <v>344.71999999999997</v>
      </c>
      <c r="R111" s="302"/>
      <c r="S111" s="5"/>
      <c r="T111" s="83"/>
      <c r="U111" s="111">
        <f>R110*(C110/10^3)</f>
        <v>48.162000000000006</v>
      </c>
      <c r="W111" s="1" t="s">
        <v>19</v>
      </c>
      <c r="X111" s="3">
        <v>0.94</v>
      </c>
      <c r="Z111" s="1" t="s">
        <v>24</v>
      </c>
      <c r="AA111" s="1">
        <v>4.1859999999999999</v>
      </c>
    </row>
    <row r="112" spans="1:29" x14ac:dyDescent="0.3">
      <c r="A112" s="299"/>
      <c r="B112" s="302"/>
      <c r="C112" s="305"/>
      <c r="D112" s="18">
        <f>IFERROR(ROUNDUP((U112*$X$3*1000*$X$4*$X$2)/((C110/10^3)*$X$5*$AA$4),2),"")</f>
        <v>24.62</v>
      </c>
      <c r="E112" s="19">
        <v>26.5</v>
      </c>
      <c r="F112" s="21">
        <f>((($X$5*$AA$4*(C110*0.001)*E112)/1000)/O112)</f>
        <v>41.226755704137929</v>
      </c>
      <c r="G112" s="21">
        <f t="shared" si="53"/>
        <v>43.765133443883151</v>
      </c>
      <c r="H112" s="21">
        <f t="shared" si="54"/>
        <v>47.570797221612118</v>
      </c>
      <c r="I112" s="108" t="s">
        <v>16</v>
      </c>
      <c r="J112" s="109" t="s">
        <v>70</v>
      </c>
      <c r="K112" s="89">
        <v>45</v>
      </c>
      <c r="L112" s="89" t="s">
        <v>35</v>
      </c>
      <c r="M112" s="90">
        <f>INDEX('WEG Motor'!$B$3:$AZ$55,
       MATCH(K112,'WEG Motor'!$A$3:$A$55,0),
       MATCH(L112,'WEG Motor'!$B$2:$AZ$2,0))%</f>
        <v>0.94200000000000006</v>
      </c>
      <c r="N112" s="91">
        <v>0.92</v>
      </c>
      <c r="O112" s="92">
        <v>0.87</v>
      </c>
      <c r="P112" s="95">
        <v>4.9550000000000001</v>
      </c>
      <c r="Q112" s="96">
        <f>ROUNDUP(H112/(C110/10^3),2)</f>
        <v>344.71999999999997</v>
      </c>
      <c r="R112" s="302"/>
      <c r="S112" s="5"/>
      <c r="T112" s="83"/>
      <c r="U112" s="111">
        <f>R110*(C110/10^3)</f>
        <v>48.162000000000006</v>
      </c>
      <c r="V112" s="10"/>
      <c r="W112" s="1" t="s">
        <v>27</v>
      </c>
      <c r="X112" s="3">
        <v>0.8</v>
      </c>
      <c r="Z112" s="1" t="s">
        <v>28</v>
      </c>
      <c r="AA112" s="1">
        <v>9.81</v>
      </c>
      <c r="AC112" s="2" t="s">
        <v>20</v>
      </c>
    </row>
    <row r="113" spans="1:29" x14ac:dyDescent="0.3">
      <c r="A113" s="299"/>
      <c r="B113" s="302"/>
      <c r="C113" s="305"/>
      <c r="D113" s="18">
        <f>IFERROR(ROUNDUP((U113*$X$3*1000*$X$4*$X$2)/((C110/10^3)*$X$5*$AA$4),2),"")</f>
        <v>24.62</v>
      </c>
      <c r="E113" s="19">
        <v>25</v>
      </c>
      <c r="F113" s="21">
        <f>((($X$5*$AA$4*(C110*0.001)*E113)/1000)/O113)</f>
        <v>41.014611163636374</v>
      </c>
      <c r="G113" s="21">
        <f t="shared" si="53"/>
        <v>43.539926925304002</v>
      </c>
      <c r="H113" s="21">
        <f t="shared" si="54"/>
        <v>47.326007527504345</v>
      </c>
      <c r="I113" s="97" t="s">
        <v>30</v>
      </c>
      <c r="J113" s="98" t="s">
        <v>65</v>
      </c>
      <c r="K113" s="89">
        <v>45</v>
      </c>
      <c r="L113" s="89" t="s">
        <v>35</v>
      </c>
      <c r="M113" s="90">
        <f>INDEX('WEG Motor'!$B$3:$AZ$55,
       MATCH(K113,'WEG Motor'!$A$3:$A$55,0),
       MATCH(L113,'WEG Motor'!$B$2:$AZ$2,0))%</f>
        <v>0.94200000000000006</v>
      </c>
      <c r="N113" s="91">
        <v>0.92</v>
      </c>
      <c r="O113" s="92">
        <v>0.82499999999999996</v>
      </c>
      <c r="P113" s="95">
        <v>5.8029999999999999</v>
      </c>
      <c r="Q113" s="96">
        <f>ROUNDUP(H113/(C110/10^3),2)</f>
        <v>342.95</v>
      </c>
      <c r="R113" s="302"/>
      <c r="S113" s="5"/>
      <c r="T113" s="83" t="s">
        <v>92</v>
      </c>
      <c r="U113" s="111">
        <f>R110*(C110/10^3)</f>
        <v>48.162000000000006</v>
      </c>
      <c r="V113" s="10"/>
      <c r="W113" s="1" t="s">
        <v>22</v>
      </c>
      <c r="X113" s="1">
        <v>999.78</v>
      </c>
      <c r="Z113" s="1" t="s">
        <v>25</v>
      </c>
      <c r="AA113" s="1" t="s">
        <v>26</v>
      </c>
      <c r="AC113" s="2"/>
    </row>
    <row r="114" spans="1:29" ht="28.8" x14ac:dyDescent="0.3">
      <c r="A114" s="299"/>
      <c r="B114" s="302"/>
      <c r="C114" s="305"/>
      <c r="D114" s="18">
        <f>IFERROR(ROUNDUP((U114*$X$3*1000*$X$4*$X$2)/((C110/10^3)*$X$5*$AA$4),2),"")</f>
        <v>24.62</v>
      </c>
      <c r="E114" s="19">
        <v>26.5</v>
      </c>
      <c r="F114" s="21">
        <f>((($X$5*$AA$4*(C110*0.001)*E114)/1000)/O114)</f>
        <v>41.17942303398393</v>
      </c>
      <c r="G114" s="21">
        <f t="shared" si="53"/>
        <v>43.714886447965952</v>
      </c>
      <c r="H114" s="21">
        <f t="shared" si="54"/>
        <v>47.516180921702123</v>
      </c>
      <c r="I114" s="118" t="s">
        <v>18</v>
      </c>
      <c r="J114" s="118" t="s">
        <v>106</v>
      </c>
      <c r="K114" s="89">
        <v>45</v>
      </c>
      <c r="L114" s="89" t="s">
        <v>35</v>
      </c>
      <c r="M114" s="90">
        <f>INDEX('WEG Motor'!$B$3:$AZ$55,
       MATCH(K114,'WEG Motor'!$A$3:$A$55,0),
       MATCH(L114,'WEG Motor'!$B$2:$AZ$2,0))%</f>
        <v>0.94200000000000006</v>
      </c>
      <c r="N114" s="91">
        <v>0.92</v>
      </c>
      <c r="O114" s="92">
        <v>0.871</v>
      </c>
      <c r="P114" s="119">
        <v>4.54</v>
      </c>
      <c r="Q114" s="96">
        <f>ROUNDUP(H114/(C110/10^3),2)</f>
        <v>344.33</v>
      </c>
      <c r="R114" s="302"/>
      <c r="S114" s="5"/>
      <c r="T114" s="83" t="s">
        <v>98</v>
      </c>
      <c r="U114" s="62">
        <f>R110*(C110/10^3)</f>
        <v>48.162000000000006</v>
      </c>
      <c r="V114" s="10"/>
      <c r="Z114" s="1">
        <v>1</v>
      </c>
      <c r="AA114" s="1">
        <v>3.5169999999999999</v>
      </c>
      <c r="AC114" s="2" t="s">
        <v>21</v>
      </c>
    </row>
    <row r="115" spans="1:29" ht="29.4" thickBot="1" x14ac:dyDescent="0.35">
      <c r="A115" s="300"/>
      <c r="B115" s="303"/>
      <c r="C115" s="306"/>
      <c r="D115" s="63">
        <f>IFERROR(ROUNDUP((U115*$X$3*1000*$X$4*$X$2)/((C110/10^3)*$X$5*$AA$4),2),"")</f>
        <v>24.62</v>
      </c>
      <c r="E115" s="64">
        <v>26.5</v>
      </c>
      <c r="F115" s="65">
        <f>((($X$5*$AA$4*(C110*0.001)*E115)/1000)/O115)</f>
        <v>41.17942303398393</v>
      </c>
      <c r="G115" s="65">
        <f t="shared" si="53"/>
        <v>43.714886447965952</v>
      </c>
      <c r="H115" s="65">
        <f t="shared" si="54"/>
        <v>47.516180921702123</v>
      </c>
      <c r="I115" s="66" t="s">
        <v>32</v>
      </c>
      <c r="J115" s="66" t="s">
        <v>107</v>
      </c>
      <c r="K115" s="67">
        <v>45</v>
      </c>
      <c r="L115" s="67" t="s">
        <v>35</v>
      </c>
      <c r="M115" s="68">
        <f>INDEX('WEG Motor'!$B$3:$AZ$55,
       MATCH(K115,'WEG Motor'!$A$3:$A$55,0),
       MATCH(L115,'WEG Motor'!$B$2:$AZ$2,0))%</f>
        <v>0.94200000000000006</v>
      </c>
      <c r="N115" s="69">
        <v>0.92</v>
      </c>
      <c r="O115" s="70">
        <v>0.871</v>
      </c>
      <c r="P115" s="117">
        <v>4.54</v>
      </c>
      <c r="Q115" s="72">
        <f>ROUNDUP(H115/(C110/10^3),2)</f>
        <v>344.33</v>
      </c>
      <c r="R115" s="303"/>
      <c r="S115" s="73"/>
      <c r="T115" s="84" t="s">
        <v>98</v>
      </c>
      <c r="U115" s="74">
        <f>R110*(C110/10^3)</f>
        <v>48.162000000000006</v>
      </c>
    </row>
    <row r="116" spans="1:29" ht="28.8" x14ac:dyDescent="0.3">
      <c r="A116" s="298">
        <v>19</v>
      </c>
      <c r="B116" s="301">
        <v>1200</v>
      </c>
      <c r="C116" s="304">
        <f t="shared" ref="C116" si="55" xml:space="preserve"> ROUND((B116 * $AA$6 * 1000) / ($X$5*$AA$2*$AA$3),0)</f>
        <v>144</v>
      </c>
      <c r="D116" s="50">
        <f>IFERROR(ROUNDUP((U116*$X$3*1000*$X$4*$X$2)/((C116/10^3)*$X$5*$AA$4),2),"")</f>
        <v>24.62</v>
      </c>
      <c r="E116" s="51">
        <v>25</v>
      </c>
      <c r="F116" s="52">
        <f>((($X$5*$AA$4*(C116*0.001)*E116)/1000)/O116)</f>
        <v>43.132458441241148</v>
      </c>
      <c r="G116" s="52">
        <f>F116/M116</f>
        <v>45.788172442931149</v>
      </c>
      <c r="H116" s="52">
        <f>G116/N116</f>
        <v>49.769752655359945</v>
      </c>
      <c r="I116" s="99" t="s">
        <v>14</v>
      </c>
      <c r="J116" s="99" t="s">
        <v>90</v>
      </c>
      <c r="K116" s="101">
        <v>45</v>
      </c>
      <c r="L116" s="101" t="s">
        <v>35</v>
      </c>
      <c r="M116" s="102">
        <f>INDEX('WEG Motor'!$B$3:$AZ$55,
       MATCH(K116,'WEG Motor'!$A$3:$A$55,0),
       MATCH(L116,'WEG Motor'!$B$2:$AZ$2,0))%</f>
        <v>0.94200000000000006</v>
      </c>
      <c r="N116" s="103">
        <v>0.92</v>
      </c>
      <c r="O116" s="104">
        <v>0.81859999999999999</v>
      </c>
      <c r="P116" s="105">
        <v>6.4050000000000002</v>
      </c>
      <c r="Q116" s="106">
        <f>ROUNDUP(H116/(C116/10^3),2)</f>
        <v>345.63</v>
      </c>
      <c r="R116" s="301">
        <v>349</v>
      </c>
      <c r="S116" s="60"/>
      <c r="T116" s="82" t="s">
        <v>94</v>
      </c>
      <c r="U116" s="110">
        <f>R116*(C116/10^3)</f>
        <v>50.255999999999993</v>
      </c>
      <c r="W116" s="1" t="s">
        <v>17</v>
      </c>
      <c r="X116" s="3">
        <v>0.92</v>
      </c>
      <c r="Z116" s="1" t="s">
        <v>23</v>
      </c>
      <c r="AA116" s="1">
        <v>7</v>
      </c>
      <c r="AC116" s="4" t="s">
        <v>38</v>
      </c>
    </row>
    <row r="117" spans="1:29" x14ac:dyDescent="0.3">
      <c r="A117" s="299"/>
      <c r="B117" s="302"/>
      <c r="C117" s="305"/>
      <c r="D117" s="18">
        <f>IFERROR(ROUNDUP((U117*$X$3*1000*$X$4*$X$2)/((C116/10^3)*$X$5*$AA$4),2),"")</f>
        <v>24.62</v>
      </c>
      <c r="E117" s="19">
        <v>26.5</v>
      </c>
      <c r="F117" s="21">
        <f>((($X$5*$AA$4*(C116*0.001)*E117)/1000)/O117)</f>
        <v>43.232903209887958</v>
      </c>
      <c r="G117" s="21">
        <f t="shared" ref="G117:G121" si="56">F117/M117</f>
        <v>45.700743350832937</v>
      </c>
      <c r="H117" s="21">
        <f t="shared" ref="H117:H121" si="57">G117/N117</f>
        <v>49.674721033514061</v>
      </c>
      <c r="I117" s="94" t="s">
        <v>15</v>
      </c>
      <c r="J117" s="88" t="s">
        <v>86</v>
      </c>
      <c r="K117" s="89">
        <v>55</v>
      </c>
      <c r="L117" s="89" t="s">
        <v>35</v>
      </c>
      <c r="M117" s="90">
        <f>INDEX('WEG Motor'!$B$3:$AZ$55,
       MATCH(K117,'WEG Motor'!$A$3:$A$55,0),
       MATCH(L117,'WEG Motor'!$B$2:$AZ$2,0))%</f>
        <v>0.94599999999999995</v>
      </c>
      <c r="N117" s="91">
        <v>0.92</v>
      </c>
      <c r="O117" s="92">
        <v>0.86570000000000003</v>
      </c>
      <c r="P117" s="95">
        <v>5.4859999999999998</v>
      </c>
      <c r="Q117" s="96">
        <f>ROUNDUP(H117/(C116/10^3),2)</f>
        <v>344.96999999999997</v>
      </c>
      <c r="R117" s="302"/>
      <c r="S117" s="5"/>
      <c r="T117" s="83" t="s">
        <v>93</v>
      </c>
      <c r="U117" s="111">
        <f>R116*(C116/10^3)</f>
        <v>50.255999999999993</v>
      </c>
      <c r="W117" s="1" t="s">
        <v>19</v>
      </c>
      <c r="X117" s="3">
        <v>0.94</v>
      </c>
      <c r="Z117" s="1" t="s">
        <v>24</v>
      </c>
      <c r="AA117" s="1">
        <v>4.1859999999999999</v>
      </c>
    </row>
    <row r="118" spans="1:29" x14ac:dyDescent="0.3">
      <c r="A118" s="299"/>
      <c r="B118" s="302"/>
      <c r="C118" s="305"/>
      <c r="D118" s="18">
        <f>IFERROR(ROUNDUP((U118*$X$3*1000*$X$4*$X$2)/((C116/10^3)*$X$5*$AA$4),2),"")</f>
        <v>24.62</v>
      </c>
      <c r="E118" s="19">
        <v>26</v>
      </c>
      <c r="F118" s="21">
        <f>((($X$5*$AA$4*(C116*0.001)*E118)/1000)/O118)</f>
        <v>43.435722378992203</v>
      </c>
      <c r="G118" s="21">
        <f t="shared" si="56"/>
        <v>45.915139935509728</v>
      </c>
      <c r="H118" s="21">
        <f t="shared" si="57"/>
        <v>49.907760799467091</v>
      </c>
      <c r="I118" s="24" t="s">
        <v>16</v>
      </c>
      <c r="J118" s="24" t="s">
        <v>88</v>
      </c>
      <c r="K118" s="7">
        <v>55</v>
      </c>
      <c r="L118" s="7" t="s">
        <v>35</v>
      </c>
      <c r="M118" s="11">
        <f>INDEX('WEG Motor'!$B$3:$AZ$55,
       MATCH(K118,'WEG Motor'!$A$3:$A$55,0),
       MATCH(L118,'WEG Motor'!$B$2:$AZ$2,0))%</f>
        <v>0.94599999999999995</v>
      </c>
      <c r="N118" s="9">
        <v>0.92</v>
      </c>
      <c r="O118" s="6">
        <v>0.84540000000000004</v>
      </c>
      <c r="P118" s="8">
        <v>3.5659999999999998</v>
      </c>
      <c r="Q118" s="20">
        <f>ROUNDUP(H118/(C116/10^3),2)</f>
        <v>346.59</v>
      </c>
      <c r="R118" s="302"/>
      <c r="S118" s="5"/>
      <c r="T118" s="83"/>
      <c r="U118" s="111">
        <f>R116*(C116/10^3)</f>
        <v>50.255999999999993</v>
      </c>
      <c r="V118" s="10"/>
      <c r="W118" s="1" t="s">
        <v>27</v>
      </c>
      <c r="X118" s="3">
        <v>0.8</v>
      </c>
      <c r="Z118" s="1" t="s">
        <v>28</v>
      </c>
      <c r="AA118" s="1">
        <v>9.81</v>
      </c>
      <c r="AC118" s="2" t="s">
        <v>20</v>
      </c>
    </row>
    <row r="119" spans="1:29" x14ac:dyDescent="0.3">
      <c r="A119" s="299"/>
      <c r="B119" s="302"/>
      <c r="C119" s="305"/>
      <c r="D119" s="18">
        <f>IFERROR(ROUNDUP((U119*$X$3*1000*$X$4*$X$2)/((C116/10^3)*$X$5*$AA$4),2),"")</f>
        <v>24.62</v>
      </c>
      <c r="E119" s="19">
        <v>25</v>
      </c>
      <c r="F119" s="21">
        <f>((($X$5*$AA$4*(C116*0.001)*E119)/1000)/O119)</f>
        <v>43.132458441241148</v>
      </c>
      <c r="G119" s="21">
        <f t="shared" si="56"/>
        <v>45.594564948457872</v>
      </c>
      <c r="H119" s="21">
        <f t="shared" si="57"/>
        <v>49.559309726584644</v>
      </c>
      <c r="I119" s="97" t="s">
        <v>30</v>
      </c>
      <c r="J119" s="98" t="s">
        <v>87</v>
      </c>
      <c r="K119" s="89">
        <v>55</v>
      </c>
      <c r="L119" s="89" t="s">
        <v>35</v>
      </c>
      <c r="M119" s="90">
        <f>INDEX('WEG Motor'!$B$3:$AZ$55,
       MATCH(K119,'WEG Motor'!$A$3:$A$55,0),
       MATCH(L119,'WEG Motor'!$B$2:$AZ$2,0))%</f>
        <v>0.94599999999999995</v>
      </c>
      <c r="N119" s="91">
        <v>0.92</v>
      </c>
      <c r="O119" s="92">
        <v>0.81859999999999999</v>
      </c>
      <c r="P119" s="95">
        <v>6.391</v>
      </c>
      <c r="Q119" s="96">
        <f>ROUNDUP(H119/(C116/10^3),2)</f>
        <v>344.17</v>
      </c>
      <c r="R119" s="302"/>
      <c r="S119" s="5"/>
      <c r="T119" s="83" t="s">
        <v>92</v>
      </c>
      <c r="U119" s="111">
        <f>R116*(C116/10^3)</f>
        <v>50.255999999999993</v>
      </c>
      <c r="V119" s="10"/>
      <c r="W119" s="1" t="s">
        <v>22</v>
      </c>
      <c r="X119" s="1">
        <v>999.78</v>
      </c>
      <c r="Z119" s="1" t="s">
        <v>25</v>
      </c>
      <c r="AA119" s="1" t="s">
        <v>26</v>
      </c>
      <c r="AC119" s="2"/>
    </row>
    <row r="120" spans="1:29" x14ac:dyDescent="0.3">
      <c r="A120" s="299"/>
      <c r="B120" s="302"/>
      <c r="C120" s="305"/>
      <c r="D120" s="18">
        <f>IFERROR(ROUNDUP((U120*$X$3*1000*$X$4*$X$2)/((C116/10^3)*$X$5*$AA$4),2),"")</f>
        <v>24.62</v>
      </c>
      <c r="E120" s="19">
        <v>26.5</v>
      </c>
      <c r="F120" s="21">
        <f>((($X$5*$AA$4*(C116*0.001)*E120)/1000)/O120)</f>
        <v>43.227909804573812</v>
      </c>
      <c r="G120" s="21">
        <f t="shared" si="56"/>
        <v>45.695464909697478</v>
      </c>
      <c r="H120" s="21">
        <f t="shared" si="57"/>
        <v>49.66898359749726</v>
      </c>
      <c r="I120" s="12" t="s">
        <v>18</v>
      </c>
      <c r="J120" s="12" t="s">
        <v>108</v>
      </c>
      <c r="K120" s="7">
        <v>55</v>
      </c>
      <c r="L120" s="7" t="s">
        <v>35</v>
      </c>
      <c r="M120" s="11">
        <f>INDEX('WEG Motor'!$B$3:$AZ$55,
       MATCH(K120,'WEG Motor'!$A$3:$A$55,0),
       MATCH(L120,'WEG Motor'!$B$2:$AZ$2,0))%</f>
        <v>0.94599999999999995</v>
      </c>
      <c r="N120" s="9">
        <v>0.92</v>
      </c>
      <c r="O120" s="6">
        <v>0.86580000000000001</v>
      </c>
      <c r="P120" s="76">
        <v>4.0199999999999996</v>
      </c>
      <c r="Q120" s="20">
        <f>ROUNDUP(H120/(C116/10^3),2)</f>
        <v>344.93</v>
      </c>
      <c r="R120" s="302"/>
      <c r="S120" s="5"/>
      <c r="T120" s="83"/>
      <c r="U120" s="62">
        <f>R116*(C116/10^3)</f>
        <v>50.255999999999993</v>
      </c>
      <c r="V120" s="10"/>
      <c r="Z120" s="1">
        <v>1</v>
      </c>
      <c r="AA120" s="1">
        <v>3.5169999999999999</v>
      </c>
      <c r="AC120" s="2" t="s">
        <v>21</v>
      </c>
    </row>
    <row r="121" spans="1:29" ht="15" thickBot="1" x14ac:dyDescent="0.35">
      <c r="A121" s="300"/>
      <c r="B121" s="303"/>
      <c r="C121" s="306"/>
      <c r="D121" s="63">
        <f>IFERROR(ROUNDUP((U121*$X$3*1000*$X$4*$X$2)/((C116/10^3)*$X$5*$AA$4),2),"")</f>
        <v>24.62</v>
      </c>
      <c r="E121" s="19">
        <v>26.5</v>
      </c>
      <c r="F121" s="65">
        <f>((($X$5*$AA$4*(C116*0.001)*E121)/1000)/O121)</f>
        <v>43.227909804573812</v>
      </c>
      <c r="G121" s="65">
        <f t="shared" si="56"/>
        <v>45.695464909697478</v>
      </c>
      <c r="H121" s="65">
        <f t="shared" si="57"/>
        <v>49.66898359749726</v>
      </c>
      <c r="I121" s="66" t="s">
        <v>32</v>
      </c>
      <c r="J121" s="66" t="s">
        <v>109</v>
      </c>
      <c r="K121" s="7">
        <v>55</v>
      </c>
      <c r="L121" s="7" t="s">
        <v>35</v>
      </c>
      <c r="M121" s="68">
        <f>INDEX('WEG Motor'!$B$3:$AZ$55,
       MATCH(K121,'WEG Motor'!$A$3:$A$55,0),
       MATCH(L121,'WEG Motor'!$B$2:$AZ$2,0))%</f>
        <v>0.94599999999999995</v>
      </c>
      <c r="N121" s="69">
        <v>0.92</v>
      </c>
      <c r="O121" s="6">
        <v>0.86580000000000001</v>
      </c>
      <c r="P121" s="76">
        <v>4.0199999999999996</v>
      </c>
      <c r="Q121" s="72">
        <f>ROUNDUP(H121/(C116/10^3),2)</f>
        <v>344.93</v>
      </c>
      <c r="R121" s="303"/>
      <c r="S121" s="73"/>
      <c r="T121" s="84"/>
      <c r="U121" s="74">
        <f>R116*(C116/10^3)</f>
        <v>50.255999999999993</v>
      </c>
    </row>
    <row r="125" spans="1:29" x14ac:dyDescent="0.3">
      <c r="H125" s="14" t="s">
        <v>83</v>
      </c>
    </row>
    <row r="127" spans="1:29" x14ac:dyDescent="0.3">
      <c r="F127" s="14">
        <f>(144/180)*100</f>
        <v>80</v>
      </c>
    </row>
  </sheetData>
  <autoFilter ref="A1:AB1" xr:uid="{78988BAC-81B3-4936-948C-2E0645D23A45}"/>
  <mergeCells count="80">
    <mergeCell ref="A56:A61"/>
    <mergeCell ref="B56:B61"/>
    <mergeCell ref="C56:C61"/>
    <mergeCell ref="R56:R61"/>
    <mergeCell ref="A62:A67"/>
    <mergeCell ref="B62:B67"/>
    <mergeCell ref="C62:C67"/>
    <mergeCell ref="R62:R67"/>
    <mergeCell ref="A44:A49"/>
    <mergeCell ref="B44:B49"/>
    <mergeCell ref="C44:C49"/>
    <mergeCell ref="R44:R49"/>
    <mergeCell ref="A50:A55"/>
    <mergeCell ref="B50:B55"/>
    <mergeCell ref="C50:C55"/>
    <mergeCell ref="R50:R55"/>
    <mergeCell ref="A38:A43"/>
    <mergeCell ref="B38:B43"/>
    <mergeCell ref="C38:C43"/>
    <mergeCell ref="R38:R43"/>
    <mergeCell ref="A26:A31"/>
    <mergeCell ref="B26:B31"/>
    <mergeCell ref="C26:C31"/>
    <mergeCell ref="R26:R31"/>
    <mergeCell ref="A32:A37"/>
    <mergeCell ref="B32:B37"/>
    <mergeCell ref="C32:C37"/>
    <mergeCell ref="R32:R37"/>
    <mergeCell ref="A14:A19"/>
    <mergeCell ref="B14:B19"/>
    <mergeCell ref="C14:C19"/>
    <mergeCell ref="R14:R19"/>
    <mergeCell ref="A20:A25"/>
    <mergeCell ref="B20:B25"/>
    <mergeCell ref="C20:C25"/>
    <mergeCell ref="R20:R25"/>
    <mergeCell ref="A2:A7"/>
    <mergeCell ref="R2:R7"/>
    <mergeCell ref="B2:B7"/>
    <mergeCell ref="C2:C7"/>
    <mergeCell ref="A8:A13"/>
    <mergeCell ref="B8:B13"/>
    <mergeCell ref="C8:C13"/>
    <mergeCell ref="R8:R13"/>
    <mergeCell ref="A68:A73"/>
    <mergeCell ref="B68:B73"/>
    <mergeCell ref="C68:C73"/>
    <mergeCell ref="R68:R73"/>
    <mergeCell ref="A74:A79"/>
    <mergeCell ref="B74:B79"/>
    <mergeCell ref="C74:C79"/>
    <mergeCell ref="R74:R79"/>
    <mergeCell ref="A80:A85"/>
    <mergeCell ref="B80:B85"/>
    <mergeCell ref="C80:C85"/>
    <mergeCell ref="R80:R85"/>
    <mergeCell ref="A86:A91"/>
    <mergeCell ref="B86:B91"/>
    <mergeCell ref="C86:C91"/>
    <mergeCell ref="R86:R91"/>
    <mergeCell ref="A92:A97"/>
    <mergeCell ref="B92:B97"/>
    <mergeCell ref="C92:C97"/>
    <mergeCell ref="R92:R97"/>
    <mergeCell ref="A98:A103"/>
    <mergeCell ref="B98:B103"/>
    <mergeCell ref="C98:C103"/>
    <mergeCell ref="R98:R103"/>
    <mergeCell ref="A116:A121"/>
    <mergeCell ref="B116:B121"/>
    <mergeCell ref="C116:C121"/>
    <mergeCell ref="R116:R121"/>
    <mergeCell ref="A104:A109"/>
    <mergeCell ref="B104:B109"/>
    <mergeCell ref="C104:C109"/>
    <mergeCell ref="R104:R109"/>
    <mergeCell ref="A110:A115"/>
    <mergeCell ref="B110:B115"/>
    <mergeCell ref="C110:C115"/>
    <mergeCell ref="R110:R115"/>
  </mergeCells>
  <conditionalFormatting sqref="P2:P121">
    <cfRule type="expression" dxfId="15" priority="1">
      <formula>P2&gt;5</formula>
    </cfRule>
  </conditionalFormatting>
  <conditionalFormatting sqref="Q2:Q121">
    <cfRule type="expression" dxfId="14" priority="2">
      <formula>Q2&gt;$R$2</formula>
    </cfRule>
  </conditionalFormatting>
  <dataValidations count="1">
    <dataValidation type="list" allowBlank="1" showInputMessage="1" showErrorMessage="1" sqref="L2:L121" xr:uid="{01C1D482-6D97-4D4D-B232-521D96362088}">
      <formula1>Poles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D357-0F76-439F-A177-2ACA6DC2E17A}">
  <dimension ref="A1:AC121"/>
  <sheetViews>
    <sheetView zoomScale="70" zoomScaleNormal="70" workbookViewId="0">
      <pane ySplit="1" topLeftCell="A2" activePane="bottomLeft" state="frozen"/>
      <selection pane="bottomLeft" activeCell="M8" sqref="M8"/>
    </sheetView>
  </sheetViews>
  <sheetFormatPr defaultColWidth="8.88671875" defaultRowHeight="14.4" x14ac:dyDescent="0.3"/>
  <cols>
    <col min="1" max="2" width="8.88671875" style="1"/>
    <col min="3" max="3" width="10.33203125" style="10" customWidth="1"/>
    <col min="4" max="4" width="15.33203125" style="1" customWidth="1"/>
    <col min="5" max="5" width="14.33203125" style="1" customWidth="1"/>
    <col min="6" max="6" width="14.44140625" style="14" customWidth="1"/>
    <col min="7" max="7" width="22.44140625" style="14" customWidth="1"/>
    <col min="8" max="8" width="21.21875" style="14" customWidth="1"/>
    <col min="9" max="9" width="13.88671875" style="1" customWidth="1"/>
    <col min="10" max="10" width="41.6640625" style="1" customWidth="1"/>
    <col min="11" max="11" width="9.44140625" style="1" customWidth="1"/>
    <col min="12" max="12" width="10.6640625" style="1" customWidth="1"/>
    <col min="13" max="13" width="14.77734375" style="15" customWidth="1"/>
    <col min="14" max="14" width="10.6640625" style="15" customWidth="1"/>
    <col min="15" max="15" width="9.88671875" style="16" bestFit="1" customWidth="1"/>
    <col min="16" max="16" width="9.88671875" style="17" customWidth="1"/>
    <col min="17" max="17" width="12.44140625" style="16" customWidth="1"/>
    <col min="18" max="18" width="11.109375" style="1" customWidth="1"/>
    <col min="19" max="19" width="13.44140625" style="1" customWidth="1"/>
    <col min="20" max="20" width="26.5546875" style="1" customWidth="1"/>
    <col min="21" max="21" width="13.109375" style="1" customWidth="1"/>
    <col min="22" max="26" width="8.88671875" style="1"/>
    <col min="27" max="27" width="14.44140625" style="1" customWidth="1"/>
    <col min="28" max="16384" width="8.88671875" style="1"/>
  </cols>
  <sheetData>
    <row r="1" spans="1:29" s="13" customFormat="1" ht="69" customHeight="1" thickBot="1" x14ac:dyDescent="0.3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31</v>
      </c>
      <c r="G1" s="28" t="s">
        <v>39</v>
      </c>
      <c r="H1" s="28" t="s">
        <v>40</v>
      </c>
      <c r="I1" s="26" t="s">
        <v>5</v>
      </c>
      <c r="J1" s="29" t="s">
        <v>5</v>
      </c>
      <c r="K1" s="27" t="s">
        <v>6</v>
      </c>
      <c r="L1" s="27" t="s">
        <v>37</v>
      </c>
      <c r="M1" s="30" t="s">
        <v>7</v>
      </c>
      <c r="N1" s="30" t="s">
        <v>8</v>
      </c>
      <c r="O1" s="31" t="s">
        <v>9</v>
      </c>
      <c r="P1" s="32" t="s">
        <v>10</v>
      </c>
      <c r="Q1" s="33" t="s">
        <v>11</v>
      </c>
      <c r="R1" s="27" t="s">
        <v>12</v>
      </c>
      <c r="S1" s="26" t="s">
        <v>13</v>
      </c>
      <c r="T1" s="77" t="s">
        <v>81</v>
      </c>
      <c r="U1" s="27" t="s">
        <v>29</v>
      </c>
    </row>
    <row r="2" spans="1:29" x14ac:dyDescent="0.3">
      <c r="A2" s="298">
        <v>0</v>
      </c>
      <c r="B2" s="301"/>
      <c r="C2" s="304">
        <f xml:space="preserve"> ROUND((B2 * $AA$6 * 1000) / ($X$5*$AA$2*$AA$3), 0)</f>
        <v>0</v>
      </c>
      <c r="D2" s="50" t="str">
        <f>IFERROR(ROUNDUP((U2*$X$3*1000*$X$4*$X$2)/((C2/10^3)*$X$5*$AA$4),2),"")</f>
        <v/>
      </c>
      <c r="E2" s="51"/>
      <c r="F2" s="52" t="e">
        <f>((($X$5*$AA$4*(C2*0.001)*E2)/1000)/O2)</f>
        <v>#DIV/0!</v>
      </c>
      <c r="G2" s="52" t="e">
        <f>F2/M2</f>
        <v>#DIV/0!</v>
      </c>
      <c r="H2" s="52" t="e">
        <f>G2/N2</f>
        <v>#DIV/0!</v>
      </c>
      <c r="I2" s="53" t="s">
        <v>14</v>
      </c>
      <c r="J2" s="53"/>
      <c r="K2" s="54"/>
      <c r="L2" s="54"/>
      <c r="M2" s="55" t="e">
        <f>INDEX('WEG Motor'!$B$3:$AZ$55,
       MATCH(K2,'WEG Motor'!$A$3:$A$55,0),
       MATCH(L2,'WEG Motor'!$B$2:$AZ$2,0))%</f>
        <v>#N/A</v>
      </c>
      <c r="N2" s="56">
        <v>0.92</v>
      </c>
      <c r="O2" s="57"/>
      <c r="P2" s="58"/>
      <c r="Q2" s="59" t="e">
        <f>ROUNDUP(H2/(C2/10^3),2)</f>
        <v>#DIV/0!</v>
      </c>
      <c r="R2" s="301">
        <v>301</v>
      </c>
      <c r="S2" s="60"/>
      <c r="T2" s="78"/>
      <c r="U2" s="61">
        <f>R2*(C2/10^3)</f>
        <v>0</v>
      </c>
      <c r="W2" s="1" t="s">
        <v>17</v>
      </c>
      <c r="X2" s="3">
        <v>0.92</v>
      </c>
      <c r="Z2" s="1" t="s">
        <v>23</v>
      </c>
      <c r="AA2" s="1">
        <v>7</v>
      </c>
      <c r="AC2" s="4" t="s">
        <v>38</v>
      </c>
    </row>
    <row r="3" spans="1:29" x14ac:dyDescent="0.3">
      <c r="A3" s="299"/>
      <c r="B3" s="302"/>
      <c r="C3" s="305"/>
      <c r="D3" s="18" t="str">
        <f>IFERROR(ROUNDUP((U3*$X$3*1000*$X$4*$X$2)/((C2/10^3)*$X$5*$AA$4),2),"")</f>
        <v/>
      </c>
      <c r="E3" s="19"/>
      <c r="F3" s="21" t="e">
        <f>((($X$5*$AA$4*(C2*0.001)*E3)/1000)/O3)</f>
        <v>#DIV/0!</v>
      </c>
      <c r="G3" s="21" t="e">
        <f t="shared" ref="G3:H7" si="0">F3/M3</f>
        <v>#DIV/0!</v>
      </c>
      <c r="H3" s="21" t="e">
        <f t="shared" si="0"/>
        <v>#DIV/0!</v>
      </c>
      <c r="I3" s="23" t="s">
        <v>15</v>
      </c>
      <c r="J3" s="23"/>
      <c r="K3" s="7"/>
      <c r="L3" s="7"/>
      <c r="M3" s="11" t="e">
        <f>INDEX('WEG Motor'!$B$3:$AZ$55,
       MATCH(K3,'WEG Motor'!$A$3:$A$55,0),
       MATCH(L3,'WEG Motor'!$B$2:$AZ$2,0))%</f>
        <v>#N/A</v>
      </c>
      <c r="N3" s="9">
        <v>0.92</v>
      </c>
      <c r="O3" s="6"/>
      <c r="P3" s="8"/>
      <c r="Q3" s="20" t="e">
        <f>ROUNDUP(H3/(C2/10^3),2)</f>
        <v>#DIV/0!</v>
      </c>
      <c r="R3" s="302"/>
      <c r="S3" s="5"/>
      <c r="T3" s="79"/>
      <c r="U3" s="62">
        <f>R2*(C2/10^3)</f>
        <v>0</v>
      </c>
      <c r="W3" s="1" t="s">
        <v>19</v>
      </c>
      <c r="X3" s="3">
        <v>0.94</v>
      </c>
      <c r="Z3" s="1" t="s">
        <v>24</v>
      </c>
      <c r="AA3" s="1">
        <v>4.1859999999999999</v>
      </c>
    </row>
    <row r="4" spans="1:29" x14ac:dyDescent="0.3">
      <c r="A4" s="299"/>
      <c r="B4" s="302"/>
      <c r="C4" s="305"/>
      <c r="D4" s="18" t="str">
        <f>IFERROR(ROUNDUP((U4*$X$3*1000*$X$4*$X$2)/((C2/10^3)*$X$5*$AA$4),2),"")</f>
        <v/>
      </c>
      <c r="E4" s="19"/>
      <c r="F4" s="21" t="e">
        <f>((($X$5*$AA$4*(C2*0.001)*E4)/1000)/O4)</f>
        <v>#DIV/0!</v>
      </c>
      <c r="G4" s="21" t="e">
        <f t="shared" si="0"/>
        <v>#DIV/0!</v>
      </c>
      <c r="H4" s="21" t="e">
        <f t="shared" si="0"/>
        <v>#DIV/0!</v>
      </c>
      <c r="I4" s="24" t="s">
        <v>16</v>
      </c>
      <c r="J4" s="24"/>
      <c r="K4" s="7"/>
      <c r="L4" s="7"/>
      <c r="M4" s="11" t="e">
        <f>INDEX('WEG Motor'!$B$3:$AZ$55,
       MATCH(K4,'WEG Motor'!$A$3:$A$55,0),
       MATCH(L4,'WEG Motor'!$B$2:$AZ$2,0))%</f>
        <v>#N/A</v>
      </c>
      <c r="N4" s="9">
        <v>0.92</v>
      </c>
      <c r="O4" s="6"/>
      <c r="P4" s="8"/>
      <c r="Q4" s="20" t="e">
        <f>ROUNDUP(H4/(C2/10^3),2)</f>
        <v>#DIV/0!</v>
      </c>
      <c r="R4" s="302"/>
      <c r="S4" s="5"/>
      <c r="T4" s="79"/>
      <c r="U4" s="62">
        <f>R2*(C2/10^3)</f>
        <v>0</v>
      </c>
      <c r="V4" s="10"/>
      <c r="W4" s="1" t="s">
        <v>27</v>
      </c>
      <c r="X4" s="3">
        <v>0.8</v>
      </c>
      <c r="Z4" s="1" t="s">
        <v>28</v>
      </c>
      <c r="AA4" s="1">
        <v>9.81</v>
      </c>
      <c r="AC4" s="2" t="s">
        <v>20</v>
      </c>
    </row>
    <row r="5" spans="1:29" x14ac:dyDescent="0.3">
      <c r="A5" s="299"/>
      <c r="B5" s="302"/>
      <c r="C5" s="305"/>
      <c r="D5" s="18" t="str">
        <f>IFERROR(ROUNDUP((U5*$X$3*1000*$X$4*$X$2)/((C2/10^3)*$X$5*$AA$4),2),"")</f>
        <v/>
      </c>
      <c r="E5" s="19"/>
      <c r="F5" s="21" t="e">
        <f>((($X$5*$AA$4*(C2*0.001)*E5)/1000)/O5)</f>
        <v>#DIV/0!</v>
      </c>
      <c r="G5" s="21" t="e">
        <f t="shared" si="0"/>
        <v>#DIV/0!</v>
      </c>
      <c r="H5" s="21" t="e">
        <f t="shared" si="0"/>
        <v>#DIV/0!</v>
      </c>
      <c r="I5" s="25" t="s">
        <v>30</v>
      </c>
      <c r="J5" s="25"/>
      <c r="K5" s="7"/>
      <c r="L5" s="7"/>
      <c r="M5" s="11" t="e">
        <f>INDEX('WEG Motor'!$B$3:$AZ$55,
       MATCH(K5,'WEG Motor'!$A$3:$A$55,0),
       MATCH(L5,'WEG Motor'!$B$2:$AZ$2,0))%</f>
        <v>#N/A</v>
      </c>
      <c r="N5" s="9">
        <v>0.92</v>
      </c>
      <c r="O5" s="6"/>
      <c r="P5" s="8"/>
      <c r="Q5" s="20" t="e">
        <f>ROUNDUP(H5/(C2/10^3),2)</f>
        <v>#DIV/0!</v>
      </c>
      <c r="R5" s="302"/>
      <c r="S5" s="5"/>
      <c r="T5" s="79"/>
      <c r="U5" s="62">
        <f>R2*(C2/10^3)</f>
        <v>0</v>
      </c>
      <c r="V5" s="10"/>
      <c r="W5" s="1" t="s">
        <v>22</v>
      </c>
      <c r="X5" s="1">
        <v>999.78</v>
      </c>
      <c r="Z5" s="1" t="s">
        <v>25</v>
      </c>
      <c r="AA5" s="1" t="s">
        <v>26</v>
      </c>
      <c r="AC5" s="2"/>
    </row>
    <row r="6" spans="1:29" x14ac:dyDescent="0.3">
      <c r="A6" s="299"/>
      <c r="B6" s="302"/>
      <c r="C6" s="305"/>
      <c r="D6" s="18" t="str">
        <f>IFERROR(ROUNDUP((U6*$X$3*1000*$X$4*$X$2)/((C2/10^3)*$X$5*$AA$4),2),"")</f>
        <v/>
      </c>
      <c r="E6" s="19"/>
      <c r="F6" s="21" t="e">
        <f>((($X$5*$AA$4*(C2*0.001)*E6)/1000)/O6)</f>
        <v>#DIV/0!</v>
      </c>
      <c r="G6" s="21" t="e">
        <f t="shared" si="0"/>
        <v>#DIV/0!</v>
      </c>
      <c r="H6" s="21" t="e">
        <f t="shared" si="0"/>
        <v>#DIV/0!</v>
      </c>
      <c r="I6" s="12" t="s">
        <v>18</v>
      </c>
      <c r="J6" s="12"/>
      <c r="K6" s="7"/>
      <c r="L6" s="7"/>
      <c r="M6" s="11" t="e">
        <f>INDEX('WEG Motor'!$B$3:$AZ$55,
       MATCH(K6,'WEG Motor'!$A$3:$A$55,0),
       MATCH(L6,'WEG Motor'!$B$2:$AZ$2,0))%</f>
        <v>#N/A</v>
      </c>
      <c r="N6" s="9">
        <v>0.92</v>
      </c>
      <c r="O6" s="6"/>
      <c r="P6" s="8"/>
      <c r="Q6" s="20" t="e">
        <f>ROUNDUP(H6/(C2/10^3),2)</f>
        <v>#DIV/0!</v>
      </c>
      <c r="R6" s="302"/>
      <c r="S6" s="5"/>
      <c r="T6" s="79"/>
      <c r="U6" s="62">
        <f>R2*(C2/10^3)</f>
        <v>0</v>
      </c>
      <c r="V6" s="10"/>
      <c r="Z6" s="1">
        <v>1</v>
      </c>
      <c r="AA6" s="1">
        <v>3.5169999999999999</v>
      </c>
      <c r="AC6" s="2" t="s">
        <v>21</v>
      </c>
    </row>
    <row r="7" spans="1:29" ht="15" thickBot="1" x14ac:dyDescent="0.35">
      <c r="A7" s="300"/>
      <c r="B7" s="303"/>
      <c r="C7" s="306"/>
      <c r="D7" s="63" t="str">
        <f>IFERROR(ROUNDUP((U7*$X$3*1000*$X$4*$X$2)/((C2/10^3)*$X$5*$AA$4),2),"")</f>
        <v/>
      </c>
      <c r="E7" s="64"/>
      <c r="F7" s="65" t="e">
        <f>((($X$5*$AA$4*(C2*0.001)*E7)/1000)/O7)</f>
        <v>#DIV/0!</v>
      </c>
      <c r="G7" s="65" t="e">
        <f t="shared" si="0"/>
        <v>#DIV/0!</v>
      </c>
      <c r="H7" s="65" t="e">
        <f t="shared" si="0"/>
        <v>#DIV/0!</v>
      </c>
      <c r="I7" s="66" t="s">
        <v>32</v>
      </c>
      <c r="J7" s="66"/>
      <c r="K7" s="67"/>
      <c r="L7" s="67"/>
      <c r="M7" s="68" t="e">
        <f>INDEX('WEG Motor'!$B$3:$AZ$55,
       MATCH(K7,'WEG Motor'!$A$3:$A$55,0),
       MATCH(L7,'WEG Motor'!$B$2:$AZ$2,0))%</f>
        <v>#N/A</v>
      </c>
      <c r="N7" s="69">
        <v>0.92</v>
      </c>
      <c r="O7" s="70"/>
      <c r="P7" s="71"/>
      <c r="Q7" s="72" t="e">
        <f>ROUNDUP(H7/(C2/10^3),2)</f>
        <v>#DIV/0!</v>
      </c>
      <c r="R7" s="303"/>
      <c r="S7" s="73"/>
      <c r="T7" s="80"/>
      <c r="U7" s="74">
        <f>R2*(C2/10^3)</f>
        <v>0</v>
      </c>
    </row>
    <row r="8" spans="1:29" x14ac:dyDescent="0.3">
      <c r="A8" s="298">
        <v>1</v>
      </c>
      <c r="B8" s="301">
        <v>300</v>
      </c>
      <c r="C8" s="304">
        <f xml:space="preserve"> ROUND((B8 * $AA$6 * 1000) / ($X$5*$AA$2*$AA$3), 0)</f>
        <v>36</v>
      </c>
      <c r="D8" s="50">
        <f>IFERROR(ROUNDUP((U8*$X$3*1000*$X$4*$X$2)/((C8/10^3)*$X$5*$AA$4),2),"")</f>
        <v>21.240000000000002</v>
      </c>
      <c r="E8" s="51">
        <v>20.5</v>
      </c>
      <c r="F8" s="52">
        <f>((($X$5*$AA$4*(C8*0.001)*E8)/1000)/O8)</f>
        <v>8.9217148384074942</v>
      </c>
      <c r="G8" s="52">
        <f>F8/M8</f>
        <v>9.761175971999446</v>
      </c>
      <c r="H8" s="52">
        <f>G8/N8</f>
        <v>10.609973882608093</v>
      </c>
      <c r="I8" s="53" t="s">
        <v>14</v>
      </c>
      <c r="J8" s="53" t="s">
        <v>89</v>
      </c>
      <c r="K8" s="54">
        <v>11</v>
      </c>
      <c r="L8" s="54" t="s">
        <v>35</v>
      </c>
      <c r="M8" s="55">
        <f>INDEX('WEG Motor'!$B$3:$AZ$55,
       MATCH(K8,'WEG Motor'!$A$3:$A$55,0),
       MATCH(L8,'WEG Motor'!$B$2:$AZ$2,0))%</f>
        <v>0.91400000000000003</v>
      </c>
      <c r="N8" s="56">
        <v>0.92</v>
      </c>
      <c r="O8" s="57">
        <v>0.81130000000000002</v>
      </c>
      <c r="P8" s="58">
        <v>1.726</v>
      </c>
      <c r="Q8" s="59">
        <f>ROUNDUP(H8/(C8/10^3),2)</f>
        <v>294.73</v>
      </c>
      <c r="R8" s="301">
        <v>301</v>
      </c>
      <c r="S8" s="60"/>
      <c r="T8" s="78"/>
      <c r="U8" s="61">
        <f>R8*(C8/10^3)</f>
        <v>10.835999999999999</v>
      </c>
      <c r="W8" s="1" t="s">
        <v>17</v>
      </c>
      <c r="X8" s="3">
        <v>0.92</v>
      </c>
      <c r="Z8" s="1" t="s">
        <v>23</v>
      </c>
      <c r="AA8" s="1">
        <v>7</v>
      </c>
      <c r="AC8" s="4" t="s">
        <v>38</v>
      </c>
    </row>
    <row r="9" spans="1:29" x14ac:dyDescent="0.3">
      <c r="A9" s="299"/>
      <c r="B9" s="302"/>
      <c r="C9" s="305"/>
      <c r="D9" s="18">
        <f>IFERROR(ROUNDUP((U9*$X$3*1000*$X$4*$X$2)/((C8/10^3)*$X$5*$AA$4),2),"")</f>
        <v>21.240000000000002</v>
      </c>
      <c r="E9" s="19">
        <v>21</v>
      </c>
      <c r="F9" s="21">
        <f>((($X$5*$AA$4*(C8*0.001)*E9)/1000)/O9)</f>
        <v>8.9398702686279243</v>
      </c>
      <c r="G9" s="21">
        <f t="shared" ref="G9:G13" si="1">F9/M9</f>
        <v>9.7810396812121709</v>
      </c>
      <c r="H9" s="21">
        <f t="shared" ref="H9:H13" si="2">G9/N9</f>
        <v>10.631564870882794</v>
      </c>
      <c r="I9" s="23" t="s">
        <v>15</v>
      </c>
      <c r="J9" s="23" t="s">
        <v>77</v>
      </c>
      <c r="K9" s="7">
        <v>11</v>
      </c>
      <c r="L9" s="7" t="s">
        <v>35</v>
      </c>
      <c r="M9" s="11">
        <f>INDEX('WEG Motor'!$B$3:$AZ$55,
       MATCH(K9,'WEG Motor'!$A$3:$A$55,0),
       MATCH(L9,'WEG Motor'!$B$2:$AZ$2,0))%</f>
        <v>0.91400000000000003</v>
      </c>
      <c r="N9" s="9">
        <v>0.92</v>
      </c>
      <c r="O9" s="6">
        <v>0.82940000000000003</v>
      </c>
      <c r="P9" s="8">
        <v>1.865</v>
      </c>
      <c r="Q9" s="20">
        <f>ROUNDUP(H9/(C8/10^3),2)</f>
        <v>295.33</v>
      </c>
      <c r="R9" s="302"/>
      <c r="S9" s="5"/>
      <c r="T9" s="79"/>
      <c r="U9" s="62">
        <f>R8*(C8/10^3)</f>
        <v>10.835999999999999</v>
      </c>
      <c r="W9" s="1" t="s">
        <v>19</v>
      </c>
      <c r="X9" s="3">
        <v>0.94</v>
      </c>
      <c r="Z9" s="1" t="s">
        <v>24</v>
      </c>
      <c r="AA9" s="1">
        <v>4.1859999999999999</v>
      </c>
    </row>
    <row r="10" spans="1:29" x14ac:dyDescent="0.3">
      <c r="A10" s="299"/>
      <c r="B10" s="302"/>
      <c r="C10" s="305"/>
      <c r="D10" s="18">
        <f>IFERROR(ROUNDUP((U10*$X$3*1000*$X$4*$X$2)/((C8/10^3)*$X$5*$AA$4),2),"")</f>
        <v>21.240000000000002</v>
      </c>
      <c r="E10" s="19">
        <v>21</v>
      </c>
      <c r="F10" s="21">
        <f>((($X$5*$AA$4*(C8*0.001)*E10)/1000)/O10)</f>
        <v>8.9398702686279243</v>
      </c>
      <c r="G10" s="21">
        <f t="shared" si="1"/>
        <v>9.7810396812121709</v>
      </c>
      <c r="H10" s="21">
        <f t="shared" si="2"/>
        <v>10.631564870882794</v>
      </c>
      <c r="I10" s="24" t="s">
        <v>16</v>
      </c>
      <c r="J10" s="24" t="s">
        <v>80</v>
      </c>
      <c r="K10" s="7">
        <v>11</v>
      </c>
      <c r="L10" s="7" t="s">
        <v>35</v>
      </c>
      <c r="M10" s="11">
        <f>INDEX('WEG Motor'!$B$3:$AZ$55,
       MATCH(K10,'WEG Motor'!$A$3:$A$55,0),
       MATCH(L10,'WEG Motor'!$B$2:$AZ$2,0))%</f>
        <v>0.91400000000000003</v>
      </c>
      <c r="N10" s="9">
        <v>0.92</v>
      </c>
      <c r="O10" s="6">
        <v>0.82940000000000003</v>
      </c>
      <c r="P10" s="8">
        <v>1.865</v>
      </c>
      <c r="Q10" s="20">
        <f>ROUNDUP(H10/(C8/10^3),2)</f>
        <v>295.33</v>
      </c>
      <c r="R10" s="302"/>
      <c r="S10" s="5"/>
      <c r="T10" s="79"/>
      <c r="U10" s="62">
        <f>R8*(C8/10^3)</f>
        <v>10.835999999999999</v>
      </c>
      <c r="V10" s="10"/>
      <c r="W10" s="1" t="s">
        <v>27</v>
      </c>
      <c r="X10" s="3">
        <v>0.8</v>
      </c>
      <c r="Z10" s="1" t="s">
        <v>28</v>
      </c>
      <c r="AA10" s="1">
        <v>9.81</v>
      </c>
      <c r="AC10" s="2" t="s">
        <v>20</v>
      </c>
    </row>
    <row r="11" spans="1:29" x14ac:dyDescent="0.3">
      <c r="A11" s="299"/>
      <c r="B11" s="302"/>
      <c r="C11" s="305"/>
      <c r="D11" s="18">
        <f>IFERROR(ROUNDUP((U11*$X$3*1000*$X$4*$X$2)/((C8/10^3)*$X$5*$AA$4),2),"")</f>
        <v>21.240000000000002</v>
      </c>
      <c r="E11" s="19">
        <v>20.5</v>
      </c>
      <c r="F11" s="21">
        <f>((($X$5*$AA$4*(C8*0.001)*E11)/1000)/O11)</f>
        <v>8.9217148384074942</v>
      </c>
      <c r="G11" s="21">
        <f t="shared" si="1"/>
        <v>9.761175971999446</v>
      </c>
      <c r="H11" s="21">
        <f t="shared" si="2"/>
        <v>10.609973882608093</v>
      </c>
      <c r="I11" s="25" t="s">
        <v>30</v>
      </c>
      <c r="J11" s="25" t="s">
        <v>78</v>
      </c>
      <c r="K11" s="7">
        <v>11</v>
      </c>
      <c r="L11" s="7" t="s">
        <v>35</v>
      </c>
      <c r="M11" s="11">
        <f>INDEX('WEG Motor'!$B$3:$AZ$55,
       MATCH(K11,'WEG Motor'!$A$3:$A$55,0),
       MATCH(L11,'WEG Motor'!$B$2:$AZ$2,0))%</f>
        <v>0.91400000000000003</v>
      </c>
      <c r="N11" s="9">
        <v>0.92</v>
      </c>
      <c r="O11" s="6">
        <v>0.81130000000000002</v>
      </c>
      <c r="P11" s="8">
        <v>1.7270000000000001</v>
      </c>
      <c r="Q11" s="20">
        <f>ROUNDUP(H11/(C8/10^3),2)</f>
        <v>294.73</v>
      </c>
      <c r="R11" s="302"/>
      <c r="S11" s="5"/>
      <c r="T11" s="79"/>
      <c r="U11" s="62">
        <f>R8*(C8/10^3)</f>
        <v>10.835999999999999</v>
      </c>
      <c r="V11" s="10"/>
      <c r="W11" s="1" t="s">
        <v>22</v>
      </c>
      <c r="X11" s="1">
        <v>999.78</v>
      </c>
      <c r="Z11" s="1" t="s">
        <v>25</v>
      </c>
      <c r="AA11" s="1" t="s">
        <v>26</v>
      </c>
      <c r="AC11" s="2"/>
    </row>
    <row r="12" spans="1:29" x14ac:dyDescent="0.3">
      <c r="A12" s="299"/>
      <c r="B12" s="302"/>
      <c r="C12" s="305"/>
      <c r="D12" s="18">
        <f>IFERROR(ROUNDUP((U12*$X$3*1000*$X$4*$X$2)/((C8/10^3)*$X$5*$AA$4),2),"")</f>
        <v>21.240000000000002</v>
      </c>
      <c r="E12" s="19">
        <v>21.5</v>
      </c>
      <c r="F12" s="21">
        <f>((($X$5*$AA$4*(C8*0.001)*E12)/1000)/O12)</f>
        <v>8.949857997170481</v>
      </c>
      <c r="G12" s="21">
        <f t="shared" si="1"/>
        <v>9.7919671741471337</v>
      </c>
      <c r="H12" s="21">
        <f t="shared" si="2"/>
        <v>10.64344258059471</v>
      </c>
      <c r="I12" s="12" t="s">
        <v>18</v>
      </c>
      <c r="J12" s="12" t="s">
        <v>96</v>
      </c>
      <c r="K12" s="7">
        <v>11</v>
      </c>
      <c r="L12" s="7" t="s">
        <v>35</v>
      </c>
      <c r="M12" s="11">
        <f>INDEX('WEG Motor'!$B$3:$AZ$55,
       MATCH(K12,'WEG Motor'!$A$3:$A$55,0),
       MATCH(L12,'WEG Motor'!$B$2:$AZ$2,0))%</f>
        <v>0.91400000000000003</v>
      </c>
      <c r="N12" s="9">
        <v>0.92</v>
      </c>
      <c r="O12" s="6">
        <v>0.84819999999999995</v>
      </c>
      <c r="P12" s="76">
        <v>2.88</v>
      </c>
      <c r="Q12" s="20">
        <f>ROUNDUP(H12/(C8/10^3),2)</f>
        <v>295.65999999999997</v>
      </c>
      <c r="R12" s="302"/>
      <c r="S12" s="5"/>
      <c r="T12" s="79"/>
      <c r="U12" s="62">
        <f>R8*(C8/10^3)</f>
        <v>10.835999999999999</v>
      </c>
      <c r="V12" s="10"/>
      <c r="Z12" s="1">
        <v>1</v>
      </c>
      <c r="AA12" s="1">
        <v>3.5169999999999999</v>
      </c>
      <c r="AC12" s="2" t="s">
        <v>21</v>
      </c>
    </row>
    <row r="13" spans="1:29" ht="15" thickBot="1" x14ac:dyDescent="0.35">
      <c r="A13" s="300"/>
      <c r="B13" s="303"/>
      <c r="C13" s="306"/>
      <c r="D13" s="63">
        <f>IFERROR(ROUNDUP((U13*$X$3*1000*$X$4*$X$2)/((C8/10^3)*$X$5*$AA$4),2),"")</f>
        <v>21.240000000000002</v>
      </c>
      <c r="E13" s="19">
        <v>21.5</v>
      </c>
      <c r="F13" s="65">
        <f>((($X$5*$AA$4*(C8*0.001)*E13)/1000)/O13)</f>
        <v>8.949857997170481</v>
      </c>
      <c r="G13" s="65">
        <f t="shared" si="1"/>
        <v>9.7919671741471337</v>
      </c>
      <c r="H13" s="65">
        <f t="shared" si="2"/>
        <v>10.64344258059471</v>
      </c>
      <c r="I13" s="66" t="s">
        <v>32</v>
      </c>
      <c r="J13" s="66" t="s">
        <v>97</v>
      </c>
      <c r="K13" s="7">
        <v>11</v>
      </c>
      <c r="L13" s="7" t="s">
        <v>35</v>
      </c>
      <c r="M13" s="68">
        <f>INDEX('WEG Motor'!$B$3:$AZ$55,
       MATCH(K13,'WEG Motor'!$A$3:$A$55,0),
       MATCH(L13,'WEG Motor'!$B$2:$AZ$2,0))%</f>
        <v>0.91400000000000003</v>
      </c>
      <c r="N13" s="69">
        <v>0.92</v>
      </c>
      <c r="O13" s="6">
        <v>0.84819999999999995</v>
      </c>
      <c r="P13" s="76">
        <v>2.88</v>
      </c>
      <c r="Q13" s="72">
        <f>ROUNDUP(H13/(C8/10^3),2)</f>
        <v>295.65999999999997</v>
      </c>
      <c r="R13" s="303"/>
      <c r="S13" s="73"/>
      <c r="T13" s="80"/>
      <c r="U13" s="74">
        <f>R8*(C8/10^3)</f>
        <v>10.835999999999999</v>
      </c>
    </row>
    <row r="14" spans="1:29" x14ac:dyDescent="0.3">
      <c r="A14" s="298">
        <v>2</v>
      </c>
      <c r="B14" s="301">
        <v>350</v>
      </c>
      <c r="C14" s="304">
        <f t="shared" ref="C14" si="3" xml:space="preserve"> ROUND((B14 * $AA$6 * 1000) / ($X$5*$AA$2*$AA$3), 0)</f>
        <v>42</v>
      </c>
      <c r="D14" s="50">
        <f>IFERROR(ROUNDUP((U14*$X$3*1000*$X$4*$X$2)/((C14/10^3)*$X$5*$AA$4),2),"")</f>
        <v>21.240000000000002</v>
      </c>
      <c r="E14" s="51">
        <v>21</v>
      </c>
      <c r="F14" s="52">
        <f>((($X$5*$AA$4*(C14*0.001)*E14)/1000)/O14)</f>
        <v>10.527584845564077</v>
      </c>
      <c r="G14" s="52">
        <f>F14/M14</f>
        <v>11.430602438180323</v>
      </c>
      <c r="H14" s="52">
        <f>G14/N14</f>
        <v>12.424567867587307</v>
      </c>
      <c r="I14" s="53" t="s">
        <v>14</v>
      </c>
      <c r="J14" s="53" t="s">
        <v>44</v>
      </c>
      <c r="K14" s="54">
        <v>15</v>
      </c>
      <c r="L14" s="54" t="s">
        <v>35</v>
      </c>
      <c r="M14" s="55">
        <f>INDEX('WEG Motor'!$B$3:$AZ$55,
       MATCH(K14,'WEG Motor'!$A$3:$A$55,0),
       MATCH(L14,'WEG Motor'!$B$2:$AZ$2,0))%</f>
        <v>0.92099999999999993</v>
      </c>
      <c r="N14" s="56">
        <v>0.92</v>
      </c>
      <c r="O14" s="57">
        <v>0.82169999999999999</v>
      </c>
      <c r="P14" s="58">
        <v>1.9890000000000001</v>
      </c>
      <c r="Q14" s="59">
        <f>ROUNDUP(H14/(C14/10^3),2)</f>
        <v>295.83</v>
      </c>
      <c r="R14" s="301">
        <v>301</v>
      </c>
      <c r="S14" s="60"/>
      <c r="T14" s="78"/>
      <c r="U14" s="61">
        <f>R14*(C14/10^3)</f>
        <v>12.642000000000001</v>
      </c>
      <c r="W14" s="1" t="s">
        <v>17</v>
      </c>
      <c r="X14" s="3">
        <v>0.92</v>
      </c>
      <c r="Z14" s="1" t="s">
        <v>23</v>
      </c>
      <c r="AA14" s="1">
        <v>7</v>
      </c>
      <c r="AC14" s="4" t="s">
        <v>38</v>
      </c>
    </row>
    <row r="15" spans="1:29" x14ac:dyDescent="0.3">
      <c r="A15" s="299"/>
      <c r="B15" s="302"/>
      <c r="C15" s="305"/>
      <c r="D15" s="18">
        <f>IFERROR(ROUNDUP((U15*$X$3*1000*$X$4*$X$2)/((C14/10^3)*$X$5*$AA$4),2),"")</f>
        <v>21.240000000000002</v>
      </c>
      <c r="E15" s="19">
        <v>21</v>
      </c>
      <c r="F15" s="21">
        <f>((($X$5*$AA$4*(C14*0.001)*E15)/1000)/O15)</f>
        <v>10.476585282305924</v>
      </c>
      <c r="G15" s="21">
        <f t="shared" ref="G15:G19" si="4">F15/M15</f>
        <v>11.375228319550407</v>
      </c>
      <c r="H15" s="21">
        <f t="shared" ref="H15:H19" si="5">G15/N15</f>
        <v>12.364378608206964</v>
      </c>
      <c r="I15" s="23" t="s">
        <v>15</v>
      </c>
      <c r="J15" s="23" t="s">
        <v>41</v>
      </c>
      <c r="K15" s="7">
        <v>15</v>
      </c>
      <c r="L15" s="7" t="s">
        <v>35</v>
      </c>
      <c r="M15" s="11">
        <f>INDEX('WEG Motor'!$B$3:$AZ$55,
       MATCH(K15,'WEG Motor'!$A$3:$A$55,0),
       MATCH(L15,'WEG Motor'!$B$2:$AZ$2,0))%</f>
        <v>0.92099999999999993</v>
      </c>
      <c r="N15" s="9">
        <v>0.92</v>
      </c>
      <c r="O15" s="6">
        <v>0.82569999999999999</v>
      </c>
      <c r="P15" s="8">
        <v>2.032</v>
      </c>
      <c r="Q15" s="20">
        <f>ROUNDUP(H15/(C14/10^3),2)</f>
        <v>294.39</v>
      </c>
      <c r="R15" s="302"/>
      <c r="S15" s="5"/>
      <c r="T15" s="79"/>
      <c r="U15" s="62">
        <f>R14*(C14/10^3)</f>
        <v>12.642000000000001</v>
      </c>
      <c r="W15" s="1" t="s">
        <v>19</v>
      </c>
      <c r="X15" s="3">
        <v>0.94</v>
      </c>
      <c r="Z15" s="1" t="s">
        <v>24</v>
      </c>
      <c r="AA15" s="1">
        <v>4.1859999999999999</v>
      </c>
    </row>
    <row r="16" spans="1:29" x14ac:dyDescent="0.3">
      <c r="A16" s="299"/>
      <c r="B16" s="302"/>
      <c r="C16" s="305"/>
      <c r="D16" s="18">
        <f>IFERROR(ROUNDUP((U16*$X$3*1000*$X$4*$X$2)/((C14/10^3)*$X$5*$AA$4),2),"")</f>
        <v>21.240000000000002</v>
      </c>
      <c r="E16" s="19">
        <v>21</v>
      </c>
      <c r="F16" s="21">
        <f>((($X$5*$AA$4*(C14*0.001)*E16)/1000)/O16)</f>
        <v>10.476585282305924</v>
      </c>
      <c r="G16" s="21">
        <f t="shared" si="4"/>
        <v>11.375228319550407</v>
      </c>
      <c r="H16" s="21">
        <f t="shared" si="5"/>
        <v>12.364378608206964</v>
      </c>
      <c r="I16" s="24" t="s">
        <v>16</v>
      </c>
      <c r="J16" s="24" t="s">
        <v>42</v>
      </c>
      <c r="K16" s="7">
        <v>15</v>
      </c>
      <c r="L16" s="7" t="s">
        <v>35</v>
      </c>
      <c r="M16" s="11">
        <f>INDEX('WEG Motor'!$B$3:$AZ$55,
       MATCH(K16,'WEG Motor'!$A$3:$A$55,0),
       MATCH(L16,'WEG Motor'!$B$2:$AZ$2,0))%</f>
        <v>0.92099999999999993</v>
      </c>
      <c r="N16" s="9">
        <v>0.92</v>
      </c>
      <c r="O16" s="6">
        <v>0.82569999999999999</v>
      </c>
      <c r="P16" s="8">
        <v>2.032</v>
      </c>
      <c r="Q16" s="20">
        <f>ROUNDUP(H16/(C14/10^3),2)</f>
        <v>294.39</v>
      </c>
      <c r="R16" s="302"/>
      <c r="S16" s="5"/>
      <c r="T16" s="79"/>
      <c r="U16" s="62">
        <f>R14*(C14/10^3)</f>
        <v>12.642000000000001</v>
      </c>
      <c r="V16" s="10"/>
      <c r="W16" s="1" t="s">
        <v>27</v>
      </c>
      <c r="X16" s="3">
        <v>0.8</v>
      </c>
      <c r="Z16" s="1" t="s">
        <v>28</v>
      </c>
      <c r="AA16" s="1">
        <v>9.81</v>
      </c>
      <c r="AC16" s="2" t="s">
        <v>20</v>
      </c>
    </row>
    <row r="17" spans="1:29" x14ac:dyDescent="0.3">
      <c r="A17" s="299"/>
      <c r="B17" s="302"/>
      <c r="C17" s="305"/>
      <c r="D17" s="18">
        <f>IFERROR(ROUNDUP((U17*$X$3*1000*$X$4*$X$2)/((C14/10^3)*$X$5*$AA$4),2),"")</f>
        <v>21.240000000000002</v>
      </c>
      <c r="E17" s="19">
        <v>21</v>
      </c>
      <c r="F17" s="21">
        <f>((($X$5*$AA$4*(C14*0.001)*E17)/1000)/O17)</f>
        <v>10.535277636828646</v>
      </c>
      <c r="G17" s="21">
        <f t="shared" si="4"/>
        <v>11.438955088847607</v>
      </c>
      <c r="H17" s="21">
        <f t="shared" si="5"/>
        <v>12.43364683570392</v>
      </c>
      <c r="I17" s="25" t="s">
        <v>30</v>
      </c>
      <c r="J17" s="25" t="s">
        <v>45</v>
      </c>
      <c r="K17" s="7">
        <v>15</v>
      </c>
      <c r="L17" s="7" t="s">
        <v>35</v>
      </c>
      <c r="M17" s="11">
        <f>INDEX('WEG Motor'!$B$3:$AZ$55,
       MATCH(K17,'WEG Motor'!$A$3:$A$55,0),
       MATCH(L17,'WEG Motor'!$B$2:$AZ$2,0))%</f>
        <v>0.92099999999999993</v>
      </c>
      <c r="N17" s="9">
        <v>0.92</v>
      </c>
      <c r="O17" s="6">
        <v>0.82110000000000005</v>
      </c>
      <c r="P17" s="8">
        <v>2.0430000000000001</v>
      </c>
      <c r="Q17" s="20">
        <f>ROUNDUP(H17/(C14/10^3),2)</f>
        <v>296.03999999999996</v>
      </c>
      <c r="R17" s="302"/>
      <c r="S17" s="5"/>
      <c r="T17" s="79"/>
      <c r="U17" s="62">
        <f>R14*(C14/10^3)</f>
        <v>12.642000000000001</v>
      </c>
      <c r="V17" s="10"/>
      <c r="W17" s="1" t="s">
        <v>22</v>
      </c>
      <c r="X17" s="1">
        <v>999.78</v>
      </c>
      <c r="Z17" s="1" t="s">
        <v>25</v>
      </c>
      <c r="AA17" s="1" t="s">
        <v>26</v>
      </c>
      <c r="AC17" s="2"/>
    </row>
    <row r="18" spans="1:29" x14ac:dyDescent="0.3">
      <c r="A18" s="299"/>
      <c r="B18" s="302"/>
      <c r="C18" s="305"/>
      <c r="D18" s="18">
        <f>IFERROR(ROUNDUP((U18*$X$3*1000*$X$4*$X$2)/((C14/10^3)*$X$5*$AA$4),2),"")</f>
        <v>21.240000000000002</v>
      </c>
      <c r="E18" s="19">
        <v>21.5</v>
      </c>
      <c r="F18" s="21">
        <f>((($X$5*$AA$4*(C14*0.001)*E18)/1000)/O18)</f>
        <v>10.553480869161106</v>
      </c>
      <c r="G18" s="21">
        <f t="shared" si="4"/>
        <v>11.458719727645068</v>
      </c>
      <c r="H18" s="21">
        <f t="shared" si="5"/>
        <v>12.455130138744639</v>
      </c>
      <c r="I18" s="12" t="s">
        <v>18</v>
      </c>
      <c r="J18" s="12" t="s">
        <v>96</v>
      </c>
      <c r="K18" s="7">
        <v>15</v>
      </c>
      <c r="L18" s="7" t="s">
        <v>35</v>
      </c>
      <c r="M18" s="11">
        <f>INDEX('WEG Motor'!$B$3:$AZ$55,
       MATCH(K18,'WEG Motor'!$A$3:$A$55,0),
       MATCH(L18,'WEG Motor'!$B$2:$AZ$2,0))%</f>
        <v>0.92099999999999993</v>
      </c>
      <c r="N18" s="9">
        <v>0.92</v>
      </c>
      <c r="O18" s="6">
        <v>0.83919999999999995</v>
      </c>
      <c r="P18" s="76">
        <v>3.01</v>
      </c>
      <c r="Q18" s="20">
        <f>ROUNDUP(H18/(C14/10^3),2)</f>
        <v>296.56</v>
      </c>
      <c r="R18" s="302"/>
      <c r="S18" s="5"/>
      <c r="T18" s="79"/>
      <c r="U18" s="62">
        <f>R14*(C14/10^3)</f>
        <v>12.642000000000001</v>
      </c>
      <c r="V18" s="10"/>
      <c r="Z18" s="1">
        <v>1</v>
      </c>
      <c r="AA18" s="1">
        <v>3.5169999999999999</v>
      </c>
      <c r="AC18" s="2" t="s">
        <v>21</v>
      </c>
    </row>
    <row r="19" spans="1:29" ht="15" thickBot="1" x14ac:dyDescent="0.35">
      <c r="A19" s="300"/>
      <c r="B19" s="303"/>
      <c r="C19" s="306"/>
      <c r="D19" s="63">
        <f>IFERROR(ROUNDUP((U19*$X$3*1000*$X$4*$X$2)/((C14/10^3)*$X$5*$AA$4),2),"")</f>
        <v>21.240000000000002</v>
      </c>
      <c r="E19" s="19">
        <v>21.5</v>
      </c>
      <c r="F19" s="65">
        <f>((($X$5*$AA$4*(C14*0.001)*E19)/1000)/O19)</f>
        <v>10.553480869161106</v>
      </c>
      <c r="G19" s="65">
        <f t="shared" si="4"/>
        <v>11.458719727645068</v>
      </c>
      <c r="H19" s="65">
        <f t="shared" si="5"/>
        <v>12.455130138744639</v>
      </c>
      <c r="I19" s="66" t="s">
        <v>32</v>
      </c>
      <c r="J19" s="66" t="s">
        <v>97</v>
      </c>
      <c r="K19" s="67">
        <v>15</v>
      </c>
      <c r="L19" s="67" t="s">
        <v>35</v>
      </c>
      <c r="M19" s="68">
        <f>INDEX('WEG Motor'!$B$3:$AZ$55,
       MATCH(K19,'WEG Motor'!$A$3:$A$55,0),
       MATCH(L19,'WEG Motor'!$B$2:$AZ$2,0))%</f>
        <v>0.92099999999999993</v>
      </c>
      <c r="N19" s="69">
        <v>0.92</v>
      </c>
      <c r="O19" s="70">
        <v>0.83919999999999995</v>
      </c>
      <c r="P19" s="76">
        <v>3.01</v>
      </c>
      <c r="Q19" s="72">
        <f>ROUNDUP(H19/(C14/10^3),2)</f>
        <v>296.56</v>
      </c>
      <c r="R19" s="303"/>
      <c r="S19" s="73"/>
      <c r="T19" s="80"/>
      <c r="U19" s="74">
        <f>R14*(C14/10^3)</f>
        <v>12.642000000000001</v>
      </c>
    </row>
    <row r="20" spans="1:29" x14ac:dyDescent="0.3">
      <c r="A20" s="298">
        <v>3</v>
      </c>
      <c r="B20" s="301">
        <v>400</v>
      </c>
      <c r="C20" s="304">
        <f t="shared" ref="C20" si="6" xml:space="preserve"> ROUND((B20 * $AA$6 * 1000) / ($X$5*$AA$2*$AA$3), 0)</f>
        <v>48</v>
      </c>
      <c r="D20" s="50">
        <f>IFERROR(ROUNDUP((U20*$X$3*1000*$X$4*$X$2)/((C20/10^3)*$X$5*$AA$4),2),"")</f>
        <v>21.240000000000002</v>
      </c>
      <c r="E20" s="51">
        <v>21</v>
      </c>
      <c r="F20" s="52">
        <f>((($X$5*$AA$4*(C20*0.001)*E20)/1000)/O20)</f>
        <v>12.008143488886191</v>
      </c>
      <c r="G20" s="52">
        <f>F20/M20</f>
        <v>13.038157968388916</v>
      </c>
      <c r="H20" s="52">
        <f>G20/N20</f>
        <v>14.171910835205342</v>
      </c>
      <c r="I20" s="99" t="s">
        <v>14</v>
      </c>
      <c r="J20" s="99" t="s">
        <v>44</v>
      </c>
      <c r="K20" s="101">
        <v>15</v>
      </c>
      <c r="L20" s="101" t="s">
        <v>35</v>
      </c>
      <c r="M20" s="102">
        <f>INDEX('WEG Motor'!$B$3:$AZ$55,
       MATCH(K20,'WEG Motor'!$A$3:$A$55,0),
       MATCH(L20,'WEG Motor'!$B$2:$AZ$2,0))%</f>
        <v>0.92099999999999993</v>
      </c>
      <c r="N20" s="103">
        <v>0.92</v>
      </c>
      <c r="O20" s="104">
        <v>0.82330000000000003</v>
      </c>
      <c r="P20" s="105">
        <v>2.403</v>
      </c>
      <c r="Q20" s="106">
        <f>ROUNDUP(H20/(C20/10^3),2)</f>
        <v>295.25</v>
      </c>
      <c r="R20" s="301">
        <v>301</v>
      </c>
      <c r="S20" s="60"/>
      <c r="T20" s="114"/>
      <c r="U20" s="110">
        <f>R20*(C20/10^3)</f>
        <v>14.448</v>
      </c>
      <c r="W20" s="1" t="s">
        <v>17</v>
      </c>
      <c r="X20" s="3">
        <v>0.92</v>
      </c>
      <c r="Z20" s="1" t="s">
        <v>23</v>
      </c>
      <c r="AA20" s="1">
        <v>7</v>
      </c>
      <c r="AC20" s="4" t="s">
        <v>38</v>
      </c>
    </row>
    <row r="21" spans="1:29" x14ac:dyDescent="0.3">
      <c r="A21" s="299"/>
      <c r="B21" s="302"/>
      <c r="C21" s="305"/>
      <c r="D21" s="18">
        <f>IFERROR(ROUNDUP((U21*$X$3*1000*$X$4*$X$2)/((C20/10^3)*$X$5*$AA$4),2),"")</f>
        <v>21.240000000000002</v>
      </c>
      <c r="E21" s="19">
        <v>21</v>
      </c>
      <c r="F21" s="21">
        <f>((($X$5*$AA$4*(C20*0.001)*E21)/1000)/O21)</f>
        <v>12.230984206853892</v>
      </c>
      <c r="G21" s="21">
        <f t="shared" ref="G21:G25" si="7">F21/M21</f>
        <v>13.280113145335388</v>
      </c>
      <c r="H21" s="21">
        <f t="shared" ref="H21:H25" si="8">G21/N21</f>
        <v>14.434905592755856</v>
      </c>
      <c r="I21" s="23" t="s">
        <v>15</v>
      </c>
      <c r="J21" s="23" t="s">
        <v>79</v>
      </c>
      <c r="K21" s="7">
        <v>15</v>
      </c>
      <c r="L21" s="7" t="s">
        <v>35</v>
      </c>
      <c r="M21" s="11">
        <f>INDEX('WEG Motor'!$B$3:$AZ$55,
       MATCH(K21,'WEG Motor'!$A$3:$A$55,0),
       MATCH(L21,'WEG Motor'!$B$2:$AZ$2,0))%</f>
        <v>0.92099999999999993</v>
      </c>
      <c r="N21" s="9">
        <v>0.92</v>
      </c>
      <c r="O21" s="6">
        <v>0.80830000000000002</v>
      </c>
      <c r="P21" s="76">
        <v>2.5499999999999998</v>
      </c>
      <c r="Q21" s="20">
        <f>ROUNDUP(H21/(C20/10^3),2)</f>
        <v>300.73</v>
      </c>
      <c r="R21" s="302"/>
      <c r="S21" s="5"/>
      <c r="T21" s="79"/>
      <c r="U21" s="62">
        <f>R20*(C20/10^3)</f>
        <v>14.448</v>
      </c>
      <c r="W21" s="1" t="s">
        <v>19</v>
      </c>
      <c r="X21" s="3">
        <v>0.94</v>
      </c>
      <c r="Z21" s="1" t="s">
        <v>24</v>
      </c>
      <c r="AA21" s="1">
        <v>4.1859999999999999</v>
      </c>
    </row>
    <row r="22" spans="1:29" x14ac:dyDescent="0.3">
      <c r="A22" s="299"/>
      <c r="B22" s="302"/>
      <c r="C22" s="305"/>
      <c r="D22" s="18">
        <f>IFERROR(ROUNDUP((U22*$X$3*1000*$X$4*$X$2)/((C20/10^3)*$X$5*$AA$4),2),"")</f>
        <v>21.240000000000002</v>
      </c>
      <c r="E22" s="19">
        <v>21</v>
      </c>
      <c r="F22" s="21">
        <f>((($X$5*$AA$4*(C20*0.001)*E22)/1000)/O22)</f>
        <v>12.230984206853892</v>
      </c>
      <c r="G22" s="21">
        <f t="shared" si="7"/>
        <v>13.280113145335388</v>
      </c>
      <c r="H22" s="21">
        <f t="shared" si="8"/>
        <v>14.434905592755856</v>
      </c>
      <c r="I22" s="24" t="s">
        <v>16</v>
      </c>
      <c r="J22" s="24" t="s">
        <v>73</v>
      </c>
      <c r="K22" s="7">
        <v>15</v>
      </c>
      <c r="L22" s="7" t="s">
        <v>35</v>
      </c>
      <c r="M22" s="11">
        <f>INDEX('WEG Motor'!$B$3:$AZ$55,
       MATCH(K22,'WEG Motor'!$A$3:$A$55,0),
       MATCH(L22,'WEG Motor'!$B$2:$AZ$2,0))%</f>
        <v>0.92099999999999993</v>
      </c>
      <c r="N22" s="9">
        <v>0.92</v>
      </c>
      <c r="O22" s="6">
        <v>0.80830000000000002</v>
      </c>
      <c r="P22" s="76">
        <v>2.5499999999999998</v>
      </c>
      <c r="Q22" s="20">
        <f>ROUNDUP(H22/(C20/10^3),2)</f>
        <v>300.73</v>
      </c>
      <c r="R22" s="302"/>
      <c r="S22" s="5"/>
      <c r="T22" s="79"/>
      <c r="U22" s="62">
        <f>R20*(C20/10^3)</f>
        <v>14.448</v>
      </c>
      <c r="V22" s="10"/>
      <c r="W22" s="1" t="s">
        <v>27</v>
      </c>
      <c r="X22" s="3">
        <v>0.8</v>
      </c>
      <c r="Z22" s="1" t="s">
        <v>28</v>
      </c>
      <c r="AA22" s="1">
        <v>9.81</v>
      </c>
      <c r="AC22" s="2" t="s">
        <v>20</v>
      </c>
    </row>
    <row r="23" spans="1:29" x14ac:dyDescent="0.3">
      <c r="A23" s="299"/>
      <c r="B23" s="302"/>
      <c r="C23" s="305"/>
      <c r="D23" s="18">
        <f>IFERROR(ROUNDUP((U23*$X$3*1000*$X$4*$X$2)/((C20/10^3)*$X$5*$AA$4),2),"")</f>
        <v>21.240000000000002</v>
      </c>
      <c r="E23" s="19">
        <v>21</v>
      </c>
      <c r="F23" s="21">
        <f>((($X$5*$AA$4*(C20*0.001)*E23)/1000)/O23)</f>
        <v>12.148322111575327</v>
      </c>
      <c r="G23" s="21">
        <f t="shared" si="7"/>
        <v>13.190360598887436</v>
      </c>
      <c r="H23" s="21">
        <f t="shared" si="8"/>
        <v>14.33734847705156</v>
      </c>
      <c r="I23" s="25" t="s">
        <v>30</v>
      </c>
      <c r="J23" s="25" t="s">
        <v>84</v>
      </c>
      <c r="K23" s="7">
        <v>15</v>
      </c>
      <c r="L23" s="7" t="s">
        <v>35</v>
      </c>
      <c r="M23" s="11">
        <f>INDEX('WEG Motor'!$B$3:$AZ$55,
       MATCH(K23,'WEG Motor'!$A$3:$A$55,0),
       MATCH(L23,'WEG Motor'!$B$2:$AZ$2,0))%</f>
        <v>0.92099999999999993</v>
      </c>
      <c r="N23" s="9">
        <v>0.92</v>
      </c>
      <c r="O23" s="6">
        <v>0.81379999999999997</v>
      </c>
      <c r="P23" s="8">
        <v>2.972</v>
      </c>
      <c r="Q23" s="37">
        <f>ROUNDUP(H23/(C20/10^3),2)</f>
        <v>298.7</v>
      </c>
      <c r="R23" s="302"/>
      <c r="S23" s="5"/>
      <c r="T23" s="79"/>
      <c r="U23" s="62">
        <f>R20*(C20/10^3)</f>
        <v>14.448</v>
      </c>
      <c r="V23" s="10"/>
      <c r="W23" s="1" t="s">
        <v>22</v>
      </c>
      <c r="X23" s="1">
        <v>999.78</v>
      </c>
      <c r="Z23" s="1" t="s">
        <v>25</v>
      </c>
      <c r="AA23" s="1" t="s">
        <v>26</v>
      </c>
      <c r="AC23" s="2"/>
    </row>
    <row r="24" spans="1:29" x14ac:dyDescent="0.3">
      <c r="A24" s="299"/>
      <c r="B24" s="302"/>
      <c r="C24" s="305"/>
      <c r="D24" s="18">
        <f>IFERROR(ROUNDUP((U24*$X$3*1000*$X$4*$X$2)/((C20/10^3)*$X$5*$AA$4),2),"")</f>
        <v>21.240000000000002</v>
      </c>
      <c r="E24" s="19">
        <v>21.5</v>
      </c>
      <c r="F24" s="21">
        <f>((($X$5*$AA$4*(C20*0.001)*E24)/1000)/O24)</f>
        <v>12.193341449945791</v>
      </c>
      <c r="G24" s="21">
        <f t="shared" si="7"/>
        <v>13.239241530885767</v>
      </c>
      <c r="H24" s="21">
        <f t="shared" si="8"/>
        <v>14.390479924875834</v>
      </c>
      <c r="I24" s="12" t="s">
        <v>18</v>
      </c>
      <c r="J24" s="12" t="s">
        <v>99</v>
      </c>
      <c r="K24" s="7">
        <v>15</v>
      </c>
      <c r="L24" s="7" t="s">
        <v>35</v>
      </c>
      <c r="M24" s="11">
        <f>INDEX('WEG Motor'!$B$3:$AZ$55,
       MATCH(K24,'WEG Motor'!$A$3:$A$55,0),
       MATCH(L24,'WEG Motor'!$B$2:$AZ$2,0))%</f>
        <v>0.92099999999999993</v>
      </c>
      <c r="N24" s="9">
        <v>0.92</v>
      </c>
      <c r="O24" s="6">
        <v>0.83009999999999995</v>
      </c>
      <c r="P24" s="76">
        <v>2.86</v>
      </c>
      <c r="Q24" s="20">
        <f>ROUNDUP(H24/(C20/10^3),2)</f>
        <v>299.81</v>
      </c>
      <c r="R24" s="302"/>
      <c r="S24" s="5"/>
      <c r="T24" s="79"/>
      <c r="U24" s="62">
        <f>R20*(C20/10^3)</f>
        <v>14.448</v>
      </c>
      <c r="V24" s="10"/>
      <c r="Z24" s="1">
        <v>1</v>
      </c>
      <c r="AA24" s="1">
        <v>3.5169999999999999</v>
      </c>
      <c r="AC24" s="2" t="s">
        <v>21</v>
      </c>
    </row>
    <row r="25" spans="1:29" ht="15" thickBot="1" x14ac:dyDescent="0.35">
      <c r="A25" s="300"/>
      <c r="B25" s="303"/>
      <c r="C25" s="306"/>
      <c r="D25" s="63">
        <f>IFERROR(ROUNDUP((U25*$X$3*1000*$X$4*$X$2)/((C20/10^3)*$X$5*$AA$4),2),"")</f>
        <v>21.240000000000002</v>
      </c>
      <c r="E25" s="19">
        <v>21.5</v>
      </c>
      <c r="F25" s="65">
        <f>((($X$5*$AA$4*(C20*0.001)*E25)/1000)/O25)</f>
        <v>12.193341449945791</v>
      </c>
      <c r="G25" s="65">
        <f t="shared" si="7"/>
        <v>13.239241530885767</v>
      </c>
      <c r="H25" s="65">
        <f t="shared" si="8"/>
        <v>14.390479924875834</v>
      </c>
      <c r="I25" s="66" t="s">
        <v>32</v>
      </c>
      <c r="J25" s="66" t="s">
        <v>101</v>
      </c>
      <c r="K25" s="7">
        <v>15</v>
      </c>
      <c r="L25" s="7" t="s">
        <v>35</v>
      </c>
      <c r="M25" s="68">
        <f>INDEX('WEG Motor'!$B$3:$AZ$55,
       MATCH(K25,'WEG Motor'!$A$3:$A$55,0),
       MATCH(L25,'WEG Motor'!$B$2:$AZ$2,0))%</f>
        <v>0.92099999999999993</v>
      </c>
      <c r="N25" s="69">
        <v>0.92</v>
      </c>
      <c r="O25" s="6">
        <v>0.83009999999999995</v>
      </c>
      <c r="P25" s="76">
        <v>2.86</v>
      </c>
      <c r="Q25" s="72">
        <f>ROUNDUP(H25/(C20/10^3),2)</f>
        <v>299.81</v>
      </c>
      <c r="R25" s="303"/>
      <c r="S25" s="73"/>
      <c r="T25" s="80"/>
      <c r="U25" s="74">
        <f>R20*(C20/10^3)</f>
        <v>14.448</v>
      </c>
    </row>
    <row r="26" spans="1:29" x14ac:dyDescent="0.3">
      <c r="A26" s="298">
        <v>4</v>
      </c>
      <c r="B26" s="301">
        <v>450</v>
      </c>
      <c r="C26" s="304">
        <f t="shared" ref="C26" si="9" xml:space="preserve"> ROUND((B26 * $AA$6 * 1000) / ($X$5*$AA$2*$AA$3), 0)</f>
        <v>54</v>
      </c>
      <c r="D26" s="50">
        <f>IFERROR(ROUNDUP((U26*$X$3*1000*$X$4*$X$2)/((C26/10^3)*$X$5*$AA$4),2),"")</f>
        <v>21.240000000000002</v>
      </c>
      <c r="E26" s="51">
        <v>21.5</v>
      </c>
      <c r="F26" s="52">
        <f>((($X$5*$AA$4*(C26*0.001)*E26)/1000)/O26)</f>
        <v>13.554224889655995</v>
      </c>
      <c r="G26" s="52">
        <f>F26/M26</f>
        <v>14.637391889477318</v>
      </c>
      <c r="H26" s="52">
        <f>G26/N26</f>
        <v>15.910208575518823</v>
      </c>
      <c r="I26" s="53" t="s">
        <v>14</v>
      </c>
      <c r="J26" s="53" t="s">
        <v>72</v>
      </c>
      <c r="K26" s="54">
        <v>18.5</v>
      </c>
      <c r="L26" s="54" t="s">
        <v>35</v>
      </c>
      <c r="M26" s="55">
        <f>INDEX('WEG Motor'!$B$3:$AZ$55,
       MATCH(K26,'WEG Motor'!$A$3:$A$55,0),
       MATCH(L26,'WEG Motor'!$B$2:$AZ$2,0))%</f>
        <v>0.92599999999999993</v>
      </c>
      <c r="N26" s="56">
        <v>0.92</v>
      </c>
      <c r="O26" s="57">
        <v>0.84009999999999996</v>
      </c>
      <c r="P26" s="58">
        <v>2.887</v>
      </c>
      <c r="Q26" s="107">
        <f>ROUNDUP(H26/(C26/10^3),2)</f>
        <v>294.64</v>
      </c>
      <c r="R26" s="301">
        <v>301</v>
      </c>
      <c r="S26" s="60"/>
      <c r="T26" s="78"/>
      <c r="U26" s="61">
        <f>R26*(C26/10^3)</f>
        <v>16.254000000000001</v>
      </c>
      <c r="W26" s="1" t="s">
        <v>17</v>
      </c>
      <c r="X26" s="3">
        <v>0.92</v>
      </c>
      <c r="Z26" s="1" t="s">
        <v>23</v>
      </c>
      <c r="AA26" s="1">
        <v>7</v>
      </c>
      <c r="AC26" s="4" t="s">
        <v>38</v>
      </c>
    </row>
    <row r="27" spans="1:29" x14ac:dyDescent="0.3">
      <c r="A27" s="299"/>
      <c r="B27" s="302"/>
      <c r="C27" s="305"/>
      <c r="D27" s="18">
        <f>IFERROR(ROUNDUP((U27*$X$3*1000*$X$4*$X$2)/((C26/10^3)*$X$5*$AA$4),2),"")</f>
        <v>21.240000000000002</v>
      </c>
      <c r="E27" s="19">
        <v>21.5</v>
      </c>
      <c r="F27" s="21">
        <f>((($X$5*$AA$4*(C26*0.001)*E27)/1000)/O27)</f>
        <v>13.604425722580645</v>
      </c>
      <c r="G27" s="21">
        <f t="shared" ref="G27:G31" si="10">F27/M27</f>
        <v>14.691604452030935</v>
      </c>
      <c r="H27" s="21">
        <f t="shared" ref="H27:H31" si="11">G27/N27</f>
        <v>15.969135273946668</v>
      </c>
      <c r="I27" s="23" t="s">
        <v>15</v>
      </c>
      <c r="J27" s="23" t="s">
        <v>50</v>
      </c>
      <c r="K27" s="7">
        <v>18.5</v>
      </c>
      <c r="L27" s="7" t="s">
        <v>35</v>
      </c>
      <c r="M27" s="11">
        <f>INDEX('WEG Motor'!$B$3:$AZ$55,
       MATCH(K27,'WEG Motor'!$A$3:$A$55,0),
       MATCH(L27,'WEG Motor'!$B$2:$AZ$2,0))%</f>
        <v>0.92599999999999993</v>
      </c>
      <c r="N27" s="9">
        <v>0.92</v>
      </c>
      <c r="O27" s="6">
        <v>0.83699999999999997</v>
      </c>
      <c r="P27" s="8">
        <v>2.569</v>
      </c>
      <c r="Q27" s="20">
        <f>ROUNDUP(H27/(C26/10^3),2)</f>
        <v>295.73</v>
      </c>
      <c r="R27" s="302"/>
      <c r="S27" s="5"/>
      <c r="T27" s="79"/>
      <c r="U27" s="62">
        <f>R26*(C26/10^3)</f>
        <v>16.254000000000001</v>
      </c>
      <c r="W27" s="1" t="s">
        <v>19</v>
      </c>
      <c r="X27" s="3">
        <v>0.94</v>
      </c>
      <c r="Z27" s="1" t="s">
        <v>24</v>
      </c>
      <c r="AA27" s="1">
        <v>4.1859999999999999</v>
      </c>
    </row>
    <row r="28" spans="1:29" x14ac:dyDescent="0.3">
      <c r="A28" s="299"/>
      <c r="B28" s="302"/>
      <c r="C28" s="305"/>
      <c r="D28" s="18">
        <f>IFERROR(ROUNDUP((U28*$X$3*1000*$X$4*$X$2)/((C26/10^3)*$X$5*$AA$4),2),"")</f>
        <v>21.240000000000002</v>
      </c>
      <c r="E28" s="19">
        <v>21.5</v>
      </c>
      <c r="F28" s="21">
        <f>((($X$5*$AA$4*(C26*0.001)*E28)/1000)/O28)</f>
        <v>13.604425722580645</v>
      </c>
      <c r="G28" s="21">
        <f t="shared" si="10"/>
        <v>14.691604452030935</v>
      </c>
      <c r="H28" s="21">
        <f t="shared" si="11"/>
        <v>15.969135273946668</v>
      </c>
      <c r="I28" s="24" t="s">
        <v>16</v>
      </c>
      <c r="J28" s="24" t="s">
        <v>74</v>
      </c>
      <c r="K28" s="7">
        <v>18.5</v>
      </c>
      <c r="L28" s="7" t="s">
        <v>35</v>
      </c>
      <c r="M28" s="11">
        <f>INDEX('WEG Motor'!$B$3:$AZ$55,
       MATCH(K28,'WEG Motor'!$A$3:$A$55,0),
       MATCH(L28,'WEG Motor'!$B$2:$AZ$2,0))%</f>
        <v>0.92599999999999993</v>
      </c>
      <c r="N28" s="9">
        <v>0.92</v>
      </c>
      <c r="O28" s="6">
        <v>0.83699999999999997</v>
      </c>
      <c r="P28" s="8">
        <v>2.569</v>
      </c>
      <c r="Q28" s="20">
        <f>ROUNDUP(H28/(C26/10^3),2)</f>
        <v>295.73</v>
      </c>
      <c r="R28" s="302"/>
      <c r="S28" s="5"/>
      <c r="T28" s="79"/>
      <c r="U28" s="62">
        <f>R26*(C26/10^3)</f>
        <v>16.254000000000001</v>
      </c>
      <c r="V28" s="10"/>
      <c r="W28" s="1" t="s">
        <v>27</v>
      </c>
      <c r="X28" s="3">
        <v>0.8</v>
      </c>
      <c r="Z28" s="1" t="s">
        <v>28</v>
      </c>
      <c r="AA28" s="1">
        <v>9.81</v>
      </c>
      <c r="AC28" s="2" t="s">
        <v>20</v>
      </c>
    </row>
    <row r="29" spans="1:29" x14ac:dyDescent="0.3">
      <c r="A29" s="299"/>
      <c r="B29" s="302"/>
      <c r="C29" s="305"/>
      <c r="D29" s="18">
        <f>IFERROR(ROUNDUP((U29*$X$3*1000*$X$4*$X$2)/((C26/10^3)*$X$5*$AA$4),2),"")</f>
        <v>21.240000000000002</v>
      </c>
      <c r="E29" s="19">
        <v>21.5</v>
      </c>
      <c r="F29" s="21">
        <f>((($X$5*$AA$4*(C26*0.001)*E29)/1000)/O29)</f>
        <v>13.643547004313444</v>
      </c>
      <c r="G29" s="21">
        <f t="shared" si="10"/>
        <v>14.733852056494001</v>
      </c>
      <c r="H29" s="21">
        <f t="shared" si="11"/>
        <v>16.015056583145654</v>
      </c>
      <c r="I29" s="25" t="s">
        <v>30</v>
      </c>
      <c r="J29" s="25" t="s">
        <v>49</v>
      </c>
      <c r="K29" s="7">
        <v>18.5</v>
      </c>
      <c r="L29" s="7" t="s">
        <v>35</v>
      </c>
      <c r="M29" s="11">
        <f>INDEX('WEG Motor'!$B$3:$AZ$55,
       MATCH(K29,'WEG Motor'!$A$3:$A$55,0),
       MATCH(L29,'WEG Motor'!$B$2:$AZ$2,0))%</f>
        <v>0.92599999999999993</v>
      </c>
      <c r="N29" s="9">
        <v>0.92</v>
      </c>
      <c r="O29" s="6">
        <v>0.83460000000000001</v>
      </c>
      <c r="P29" s="8">
        <v>2.9849999999999999</v>
      </c>
      <c r="Q29" s="20">
        <f>ROUNDUP(H29/(C26/10^3),2)</f>
        <v>296.58</v>
      </c>
      <c r="R29" s="302"/>
      <c r="S29" s="5"/>
      <c r="T29" s="79"/>
      <c r="U29" s="62">
        <f>R26*(C26/10^3)</f>
        <v>16.254000000000001</v>
      </c>
      <c r="V29" s="10"/>
      <c r="W29" s="1" t="s">
        <v>22</v>
      </c>
      <c r="X29" s="1">
        <v>999.78</v>
      </c>
      <c r="Z29" s="1" t="s">
        <v>25</v>
      </c>
      <c r="AA29" s="1" t="s">
        <v>26</v>
      </c>
      <c r="AC29" s="2"/>
    </row>
    <row r="30" spans="1:29" x14ac:dyDescent="0.3">
      <c r="A30" s="299"/>
      <c r="B30" s="302"/>
      <c r="C30" s="305"/>
      <c r="D30" s="18">
        <f>IFERROR(ROUNDUP((U30*$X$3*1000*$X$4*$X$2)/((C26/10^3)*$X$5*$AA$4),2),"")</f>
        <v>21.240000000000002</v>
      </c>
      <c r="E30" s="19">
        <v>21.5</v>
      </c>
      <c r="F30" s="21">
        <f>((($X$5*$AA$4*(C26*0.001)*E30)/1000)/O30)</f>
        <v>13.530066931796577</v>
      </c>
      <c r="G30" s="21">
        <f t="shared" si="10"/>
        <v>14.690626418888794</v>
      </c>
      <c r="H30" s="21">
        <f t="shared" si="11"/>
        <v>15.968072194444341</v>
      </c>
      <c r="I30" s="12" t="s">
        <v>18</v>
      </c>
      <c r="J30" s="12" t="s">
        <v>99</v>
      </c>
      <c r="K30" s="7">
        <v>15</v>
      </c>
      <c r="L30" s="7" t="s">
        <v>35</v>
      </c>
      <c r="M30" s="11">
        <f>INDEX('WEG Motor'!$B$3:$AZ$55,
       MATCH(K30,'WEG Motor'!$A$3:$A$55,0),
       MATCH(L30,'WEG Motor'!$B$2:$AZ$2,0))%</f>
        <v>0.92099999999999993</v>
      </c>
      <c r="N30" s="9">
        <v>0.92</v>
      </c>
      <c r="O30" s="6">
        <v>0.84160000000000001</v>
      </c>
      <c r="P30" s="76">
        <v>2.94</v>
      </c>
      <c r="Q30" s="20">
        <f>ROUNDUP(H30/(C26/10^3),2)</f>
        <v>295.70999999999998</v>
      </c>
      <c r="R30" s="302"/>
      <c r="S30" s="5"/>
      <c r="T30" s="79"/>
      <c r="U30" s="62">
        <f>R26*(C26/10^3)</f>
        <v>16.254000000000001</v>
      </c>
      <c r="V30" s="10"/>
      <c r="Z30" s="1">
        <v>1</v>
      </c>
      <c r="AA30" s="1">
        <v>3.5169999999999999</v>
      </c>
      <c r="AC30" s="2" t="s">
        <v>21</v>
      </c>
    </row>
    <row r="31" spans="1:29" ht="15" thickBot="1" x14ac:dyDescent="0.35">
      <c r="A31" s="300"/>
      <c r="B31" s="303"/>
      <c r="C31" s="306"/>
      <c r="D31" s="63">
        <f>IFERROR(ROUNDUP((U31*$X$3*1000*$X$4*$X$2)/((C26/10^3)*$X$5*$AA$4),2),"")</f>
        <v>21.240000000000002</v>
      </c>
      <c r="E31" s="64">
        <v>21.5</v>
      </c>
      <c r="F31" s="65">
        <f>((($X$5*$AA$4*(C26*0.001)*E31)/1000)/O31)</f>
        <v>13.530066931796577</v>
      </c>
      <c r="G31" s="65">
        <f t="shared" si="10"/>
        <v>14.690626418888794</v>
      </c>
      <c r="H31" s="65">
        <f t="shared" si="11"/>
        <v>15.968072194444341</v>
      </c>
      <c r="I31" s="66" t="s">
        <v>32</v>
      </c>
      <c r="J31" s="66" t="s">
        <v>101</v>
      </c>
      <c r="K31" s="67">
        <v>15</v>
      </c>
      <c r="L31" s="67" t="s">
        <v>35</v>
      </c>
      <c r="M31" s="68">
        <f>INDEX('WEG Motor'!$B$3:$AZ$55,
       MATCH(K31,'WEG Motor'!$A$3:$A$55,0),
       MATCH(L31,'WEG Motor'!$B$2:$AZ$2,0))%</f>
        <v>0.92099999999999993</v>
      </c>
      <c r="N31" s="69">
        <v>0.92</v>
      </c>
      <c r="O31" s="70">
        <v>0.84160000000000001</v>
      </c>
      <c r="P31" s="117">
        <v>2.94</v>
      </c>
      <c r="Q31" s="72">
        <f>ROUNDUP(H31/(C26/10^3),2)</f>
        <v>295.70999999999998</v>
      </c>
      <c r="R31" s="303"/>
      <c r="S31" s="73"/>
      <c r="T31" s="80"/>
      <c r="U31" s="74">
        <f>R26*(C26/10^3)</f>
        <v>16.254000000000001</v>
      </c>
    </row>
    <row r="32" spans="1:29" x14ac:dyDescent="0.3">
      <c r="A32" s="298">
        <v>5</v>
      </c>
      <c r="B32" s="301">
        <v>500</v>
      </c>
      <c r="C32" s="304">
        <f t="shared" ref="C32" si="12" xml:space="preserve"> ROUND((B32 * $AA$6 * 1000) / ($X$5*$AA$2*$AA$3), 0)</f>
        <v>60</v>
      </c>
      <c r="D32" s="50">
        <f>IFERROR(ROUNDUP((U32*$X$3*1000*$X$4*$X$2)/((C32/10^3)*$X$5*$AA$4),2),"")</f>
        <v>21.240000000000002</v>
      </c>
      <c r="E32" s="51">
        <v>21.5</v>
      </c>
      <c r="F32" s="52">
        <f>((($X$5*$AA$4*(C32*0.001)*E32)/1000)/O32)</f>
        <v>14.895356630562748</v>
      </c>
      <c r="G32" s="52">
        <f>F32/M32</f>
        <v>16.085698305143357</v>
      </c>
      <c r="H32" s="52">
        <f>G32/N32</f>
        <v>17.484454679503649</v>
      </c>
      <c r="I32" s="53" t="s">
        <v>14</v>
      </c>
      <c r="J32" s="53" t="s">
        <v>72</v>
      </c>
      <c r="K32" s="54">
        <v>18.5</v>
      </c>
      <c r="L32" s="54" t="s">
        <v>35</v>
      </c>
      <c r="M32" s="55">
        <f>INDEX('WEG Motor'!$B$3:$AZ$55,
       MATCH(K32,'WEG Motor'!$A$3:$A$55,0),
       MATCH(L32,'WEG Motor'!$B$2:$AZ$2,0))%</f>
        <v>0.92599999999999993</v>
      </c>
      <c r="N32" s="56">
        <v>0.92</v>
      </c>
      <c r="O32" s="57">
        <v>0.84940000000000004</v>
      </c>
      <c r="P32" s="75">
        <v>3</v>
      </c>
      <c r="Q32" s="107">
        <f>ROUNDUP(H32/(C32/10^3),2)</f>
        <v>291.40999999999997</v>
      </c>
      <c r="R32" s="301">
        <v>301</v>
      </c>
      <c r="S32" s="60"/>
      <c r="T32" s="78"/>
      <c r="U32" s="61">
        <f>R32*(C32/10^3)</f>
        <v>18.059999999999999</v>
      </c>
      <c r="W32" s="1" t="s">
        <v>17</v>
      </c>
      <c r="X32" s="3">
        <v>0.92</v>
      </c>
      <c r="Z32" s="1" t="s">
        <v>23</v>
      </c>
      <c r="AA32" s="1">
        <v>7</v>
      </c>
      <c r="AC32" s="4" t="s">
        <v>38</v>
      </c>
    </row>
    <row r="33" spans="1:29" x14ac:dyDescent="0.3">
      <c r="A33" s="299"/>
      <c r="B33" s="302"/>
      <c r="C33" s="305"/>
      <c r="D33" s="18">
        <f>IFERROR(ROUNDUP((U33*$X$3*1000*$X$4*$X$2)/((C32/10^3)*$X$5*$AA$4),2),"")</f>
        <v>21.240000000000002</v>
      </c>
      <c r="E33" s="19">
        <v>22</v>
      </c>
      <c r="F33" s="21">
        <f>((($X$5*$AA$4*(C32*0.001)*E33)/1000)/O33)</f>
        <v>15.067913379888269</v>
      </c>
      <c r="G33" s="21">
        <f t="shared" ref="G33:G37" si="13">F33/M33</f>
        <v>16.272044686704394</v>
      </c>
      <c r="H33" s="21">
        <f t="shared" ref="H33:H37" si="14">G33/N33</f>
        <v>17.687005094243904</v>
      </c>
      <c r="I33" s="23" t="s">
        <v>15</v>
      </c>
      <c r="J33" s="23" t="s">
        <v>50</v>
      </c>
      <c r="K33" s="7">
        <v>18.5</v>
      </c>
      <c r="L33" s="7" t="s">
        <v>35</v>
      </c>
      <c r="M33" s="11">
        <f>INDEX('WEG Motor'!$B$3:$AZ$55,
       MATCH(K33,'WEG Motor'!$A$3:$A$55,0),
       MATCH(L33,'WEG Motor'!$B$2:$AZ$2,0))%</f>
        <v>0.92599999999999993</v>
      </c>
      <c r="N33" s="9">
        <v>0.92</v>
      </c>
      <c r="O33" s="6">
        <v>0.85919999999999996</v>
      </c>
      <c r="P33" s="8">
        <v>2.6019999999999999</v>
      </c>
      <c r="Q33" s="20">
        <f>ROUNDUP(H33/(C32/10^3),2)</f>
        <v>294.78999999999996</v>
      </c>
      <c r="R33" s="302"/>
      <c r="S33" s="5"/>
      <c r="T33" s="79"/>
      <c r="U33" s="62">
        <f>R32*(C32/10^3)</f>
        <v>18.059999999999999</v>
      </c>
      <c r="W33" s="1" t="s">
        <v>19</v>
      </c>
      <c r="X33" s="3">
        <v>0.94</v>
      </c>
      <c r="Z33" s="1" t="s">
        <v>24</v>
      </c>
      <c r="AA33" s="1">
        <v>4.1859999999999999</v>
      </c>
    </row>
    <row r="34" spans="1:29" x14ac:dyDescent="0.3">
      <c r="A34" s="299"/>
      <c r="B34" s="302"/>
      <c r="C34" s="305"/>
      <c r="D34" s="18">
        <f>IFERROR(ROUNDUP((U34*$X$3*1000*$X$4*$X$2)/((C32/10^3)*$X$5*$AA$4),2),"")</f>
        <v>21.240000000000002</v>
      </c>
      <c r="E34" s="19">
        <v>22</v>
      </c>
      <c r="F34" s="21">
        <f>((($X$5*$AA$4*(C32*0.001)*E34)/1000)/O34)</f>
        <v>15.067913379888269</v>
      </c>
      <c r="G34" s="21">
        <f t="shared" si="13"/>
        <v>16.272044686704394</v>
      </c>
      <c r="H34" s="21">
        <f t="shared" si="14"/>
        <v>17.687005094243904</v>
      </c>
      <c r="I34" s="24" t="s">
        <v>16</v>
      </c>
      <c r="J34" s="24" t="s">
        <v>74</v>
      </c>
      <c r="K34" s="7">
        <v>18.5</v>
      </c>
      <c r="L34" s="7" t="s">
        <v>35</v>
      </c>
      <c r="M34" s="11">
        <f>INDEX('WEG Motor'!$B$3:$AZ$55,
       MATCH(K34,'WEG Motor'!$A$3:$A$55,0),
       MATCH(L34,'WEG Motor'!$B$2:$AZ$2,0))%</f>
        <v>0.92599999999999993</v>
      </c>
      <c r="N34" s="9">
        <v>0.92</v>
      </c>
      <c r="O34" s="6">
        <v>0.85919999999999996</v>
      </c>
      <c r="P34" s="8">
        <v>2.6019999999999999</v>
      </c>
      <c r="Q34" s="20">
        <f>ROUNDUP(H34/(C32/10^3),2)</f>
        <v>294.78999999999996</v>
      </c>
      <c r="R34" s="302"/>
      <c r="S34" s="5"/>
      <c r="T34" s="79"/>
      <c r="U34" s="62">
        <f>R32*(C32/10^3)</f>
        <v>18.059999999999999</v>
      </c>
      <c r="V34" s="10"/>
      <c r="W34" s="1" t="s">
        <v>27</v>
      </c>
      <c r="X34" s="3">
        <v>0.8</v>
      </c>
      <c r="Z34" s="1" t="s">
        <v>28</v>
      </c>
      <c r="AA34" s="1">
        <v>9.81</v>
      </c>
      <c r="AC34" s="2" t="s">
        <v>20</v>
      </c>
    </row>
    <row r="35" spans="1:29" x14ac:dyDescent="0.3">
      <c r="A35" s="299"/>
      <c r="B35" s="302"/>
      <c r="C35" s="305"/>
      <c r="D35" s="18">
        <f>IFERROR(ROUNDUP((U35*$X$3*1000*$X$4*$X$2)/((C32/10^3)*$X$5*$AA$4),2),"")</f>
        <v>21.240000000000002</v>
      </c>
      <c r="E35" s="19">
        <v>22</v>
      </c>
      <c r="F35" s="21">
        <f>((($X$5*$AA$4*(C32*0.001)*E35)/1000)/O35)</f>
        <v>15.266923556603775</v>
      </c>
      <c r="G35" s="21">
        <f t="shared" si="13"/>
        <v>16.486958484453321</v>
      </c>
      <c r="H35" s="21">
        <f t="shared" si="14"/>
        <v>17.920607048318828</v>
      </c>
      <c r="I35" s="25" t="s">
        <v>30</v>
      </c>
      <c r="J35" s="25" t="s">
        <v>49</v>
      </c>
      <c r="K35" s="7">
        <v>18.5</v>
      </c>
      <c r="L35" s="7" t="s">
        <v>35</v>
      </c>
      <c r="M35" s="11">
        <f>INDEX('WEG Motor'!$B$3:$AZ$55,
       MATCH(K35,'WEG Motor'!$A$3:$A$55,0),
       MATCH(L35,'WEG Motor'!$B$2:$AZ$2,0))%</f>
        <v>0.92599999999999993</v>
      </c>
      <c r="N35" s="9">
        <v>0.92</v>
      </c>
      <c r="O35" s="6">
        <v>0.84799999999999998</v>
      </c>
      <c r="P35" s="8">
        <v>3.0270000000000001</v>
      </c>
      <c r="Q35" s="20">
        <f>ROUNDUP(H35/(C32/10^3),2)</f>
        <v>298.68</v>
      </c>
      <c r="R35" s="302"/>
      <c r="S35" s="5"/>
      <c r="T35" s="79"/>
      <c r="U35" s="62">
        <f>R32*(C32/10^3)</f>
        <v>18.059999999999999</v>
      </c>
      <c r="V35" s="10"/>
      <c r="W35" s="1" t="s">
        <v>22</v>
      </c>
      <c r="X35" s="1">
        <v>999.78</v>
      </c>
      <c r="Z35" s="1" t="s">
        <v>25</v>
      </c>
      <c r="AA35" s="1" t="s">
        <v>26</v>
      </c>
      <c r="AC35" s="2"/>
    </row>
    <row r="36" spans="1:29" ht="28.8" x14ac:dyDescent="0.3">
      <c r="A36" s="299"/>
      <c r="B36" s="302"/>
      <c r="C36" s="305"/>
      <c r="D36" s="18">
        <f>IFERROR(ROUNDUP((U36*$X$3*1000*$X$4*$X$2)/((C32/10^3)*$X$5*$AA$4),2),"")</f>
        <v>21.240000000000002</v>
      </c>
      <c r="E36" s="19">
        <v>22</v>
      </c>
      <c r="F36" s="21">
        <f>((($X$5*$AA$4*(C32*0.001)*E36)/1000)/O36)</f>
        <v>15.29217006378455</v>
      </c>
      <c r="G36" s="21">
        <f t="shared" si="13"/>
        <v>16.51422253108483</v>
      </c>
      <c r="H36" s="21">
        <f>G36/N36</f>
        <v>17.950241881613945</v>
      </c>
      <c r="I36" s="120" t="s">
        <v>18</v>
      </c>
      <c r="J36" s="118" t="s">
        <v>99</v>
      </c>
      <c r="K36" s="89">
        <v>18.5</v>
      </c>
      <c r="L36" s="89" t="s">
        <v>35</v>
      </c>
      <c r="M36" s="90">
        <f>INDEX('WEG Motor'!$B$3:$AZ$55,
       MATCH(K36,'WEG Motor'!$A$3:$A$55,0),
       MATCH(L36,'WEG Motor'!$B$2:$AZ$2,0))%</f>
        <v>0.92599999999999993</v>
      </c>
      <c r="N36" s="91">
        <v>0.92</v>
      </c>
      <c r="O36" s="92">
        <v>0.84660000000000002</v>
      </c>
      <c r="P36" s="119">
        <v>3.04</v>
      </c>
      <c r="Q36" s="96">
        <f>ROUNDUP(H36/(C32/10^3),2)</f>
        <v>299.18</v>
      </c>
      <c r="R36" s="302"/>
      <c r="S36" s="5"/>
      <c r="T36" s="112" t="s">
        <v>110</v>
      </c>
      <c r="U36" s="111">
        <f>R32*(C32/10^3)</f>
        <v>18.059999999999999</v>
      </c>
      <c r="V36" s="10"/>
      <c r="Z36" s="1">
        <v>1</v>
      </c>
      <c r="AA36" s="1">
        <v>3.5169999999999999</v>
      </c>
      <c r="AC36" s="2" t="s">
        <v>21</v>
      </c>
    </row>
    <row r="37" spans="1:29" ht="29.4" thickBot="1" x14ac:dyDescent="0.35">
      <c r="A37" s="300"/>
      <c r="B37" s="303"/>
      <c r="C37" s="306"/>
      <c r="D37" s="63">
        <f>IFERROR(ROUNDUP((U37*$X$3*1000*$X$4*$X$2)/((C32/10^3)*$X$5*$AA$4),2),"")</f>
        <v>21.240000000000002</v>
      </c>
      <c r="E37" s="64">
        <v>22</v>
      </c>
      <c r="F37" s="65">
        <f>((($X$5*$AA$4*(C32*0.001)*E37)/1000)/O37)</f>
        <v>15.29217006378455</v>
      </c>
      <c r="G37" s="65">
        <f t="shared" si="13"/>
        <v>16.51422253108483</v>
      </c>
      <c r="H37" s="65">
        <f t="shared" si="14"/>
        <v>17.950241881613945</v>
      </c>
      <c r="I37" s="122" t="s">
        <v>32</v>
      </c>
      <c r="J37" s="123" t="s">
        <v>101</v>
      </c>
      <c r="K37" s="124">
        <v>18.5</v>
      </c>
      <c r="L37" s="124" t="s">
        <v>35</v>
      </c>
      <c r="M37" s="125">
        <f>INDEX('WEG Motor'!$B$3:$AZ$55,
       MATCH(K37,'WEG Motor'!$A$3:$A$55,0),
       MATCH(L37,'WEG Motor'!$B$2:$AZ$2,0))%</f>
        <v>0.92599999999999993</v>
      </c>
      <c r="N37" s="126">
        <v>0.92</v>
      </c>
      <c r="O37" s="127">
        <v>0.84660000000000002</v>
      </c>
      <c r="P37" s="128">
        <v>3.04</v>
      </c>
      <c r="Q37" s="131">
        <f>ROUNDUP(H37/(C32/10^3),2)</f>
        <v>299.18</v>
      </c>
      <c r="R37" s="303"/>
      <c r="S37" s="73"/>
      <c r="T37" s="136" t="s">
        <v>111</v>
      </c>
      <c r="U37" s="137">
        <f>R32*(C32/10^3)</f>
        <v>18.059999999999999</v>
      </c>
    </row>
    <row r="38" spans="1:29" x14ac:dyDescent="0.3">
      <c r="A38" s="298">
        <v>6</v>
      </c>
      <c r="B38" s="301">
        <v>550</v>
      </c>
      <c r="C38" s="304">
        <f t="shared" ref="C38" si="15" xml:space="preserve"> ROUND((B38 * $AA$6 * 1000) / ($X$5*$AA$2*$AA$3), 0)</f>
        <v>66</v>
      </c>
      <c r="D38" s="50">
        <f>IFERROR(ROUNDUP((U38*$X$3*1000*$X$4*$X$2)/((C38/10^3)*$X$5*$AA$4),2),"")</f>
        <v>21.240000000000002</v>
      </c>
      <c r="E38" s="51">
        <v>22</v>
      </c>
      <c r="F38" s="52">
        <f>((($X$5*$AA$4*(C38*0.001)*E38)/1000)/O38)</f>
        <v>16.775811395452941</v>
      </c>
      <c r="G38" s="52">
        <f>F38/M38</f>
        <v>18.019131466651924</v>
      </c>
      <c r="H38" s="52">
        <f>G38/N38</f>
        <v>19.586012463752091</v>
      </c>
      <c r="I38" s="53" t="s">
        <v>14</v>
      </c>
      <c r="J38" s="53" t="s">
        <v>54</v>
      </c>
      <c r="K38" s="54">
        <v>22</v>
      </c>
      <c r="L38" s="54" t="s">
        <v>35</v>
      </c>
      <c r="M38" s="55">
        <f>INDEX('WEG Motor'!$B$3:$AZ$55,
       MATCH(K38,'WEG Motor'!$A$3:$A$55,0),
       MATCH(L38,'WEG Motor'!$B$2:$AZ$2,0))%</f>
        <v>0.93099999999999994</v>
      </c>
      <c r="N38" s="56">
        <v>0.92</v>
      </c>
      <c r="O38" s="57">
        <v>0.84889999999999999</v>
      </c>
      <c r="P38" s="58">
        <v>3.0070000000000001</v>
      </c>
      <c r="Q38" s="59">
        <f>ROUNDUP(H38/(C38/10^3),2)</f>
        <v>296.76</v>
      </c>
      <c r="R38" s="301">
        <v>301</v>
      </c>
      <c r="S38" s="60"/>
      <c r="T38" s="78"/>
      <c r="U38" s="61">
        <f>R38*(C38/10^3)</f>
        <v>19.866</v>
      </c>
      <c r="W38" s="1" t="s">
        <v>17</v>
      </c>
      <c r="X38" s="3">
        <v>0.92</v>
      </c>
      <c r="Z38" s="1" t="s">
        <v>23</v>
      </c>
      <c r="AA38" s="1">
        <v>7</v>
      </c>
      <c r="AC38" s="4" t="s">
        <v>38</v>
      </c>
    </row>
    <row r="39" spans="1:29" x14ac:dyDescent="0.3">
      <c r="A39" s="299"/>
      <c r="B39" s="302"/>
      <c r="C39" s="305"/>
      <c r="D39" s="18">
        <f>IFERROR(ROUNDUP((U39*$X$3*1000*$X$4*$X$2)/((C38/10^3)*$X$5*$AA$4),2),"")</f>
        <v>21.240000000000002</v>
      </c>
      <c r="E39" s="19">
        <v>22.5</v>
      </c>
      <c r="F39" s="21">
        <f>((($X$5*$AA$4*(C38*0.001)*E39)/1000)/O39)</f>
        <v>16.849427432901436</v>
      </c>
      <c r="G39" s="21">
        <f t="shared" ref="G39:G43" si="16">F39/M39</f>
        <v>18.098203472504228</v>
      </c>
      <c r="H39" s="21">
        <f t="shared" ref="H39:H43" si="17">G39/N39</f>
        <v>19.671960296200247</v>
      </c>
      <c r="I39" s="23" t="s">
        <v>15</v>
      </c>
      <c r="J39" s="23" t="s">
        <v>85</v>
      </c>
      <c r="K39" s="7">
        <v>22</v>
      </c>
      <c r="L39" s="7" t="s">
        <v>35</v>
      </c>
      <c r="M39" s="11">
        <f>INDEX('WEG Motor'!$B$3:$AZ$55,
       MATCH(K39,'WEG Motor'!$A$3:$A$55,0),
       MATCH(L39,'WEG Motor'!$B$2:$AZ$2,0))%</f>
        <v>0.93099999999999994</v>
      </c>
      <c r="N39" s="9">
        <v>0.92</v>
      </c>
      <c r="O39" s="6">
        <v>0.86439999999999995</v>
      </c>
      <c r="P39" s="8">
        <v>2.6619999999999999</v>
      </c>
      <c r="Q39" s="20">
        <f>ROUNDUP(H39/(C38/10^3),2)</f>
        <v>298.07</v>
      </c>
      <c r="R39" s="302"/>
      <c r="S39" s="5"/>
      <c r="T39" s="79"/>
      <c r="U39" s="62">
        <f>R38*(C38/10^3)</f>
        <v>19.866</v>
      </c>
      <c r="W39" s="1" t="s">
        <v>19</v>
      </c>
      <c r="X39" s="3">
        <v>0.94</v>
      </c>
      <c r="Z39" s="1" t="s">
        <v>24</v>
      </c>
      <c r="AA39" s="1">
        <v>4.1859999999999999</v>
      </c>
    </row>
    <row r="40" spans="1:29" x14ac:dyDescent="0.3">
      <c r="A40" s="299"/>
      <c r="B40" s="302"/>
      <c r="C40" s="305"/>
      <c r="D40" s="18">
        <f>IFERROR(ROUNDUP((U40*$X$3*1000*$X$4*$X$2)/((C38/10^3)*$X$5*$AA$4),2),"")</f>
        <v>21.240000000000002</v>
      </c>
      <c r="E40" s="19">
        <v>22.5</v>
      </c>
      <c r="F40" s="21">
        <f>((($X$5*$AA$4*(C38*0.001)*E40)/1000)/O40)</f>
        <v>16.849427432901436</v>
      </c>
      <c r="G40" s="21">
        <f t="shared" si="16"/>
        <v>18.098203472504228</v>
      </c>
      <c r="H40" s="21">
        <f t="shared" si="17"/>
        <v>19.671960296200247</v>
      </c>
      <c r="I40" s="24" t="s">
        <v>16</v>
      </c>
      <c r="J40" s="24" t="s">
        <v>75</v>
      </c>
      <c r="K40" s="7">
        <v>22</v>
      </c>
      <c r="L40" s="7" t="s">
        <v>35</v>
      </c>
      <c r="M40" s="11">
        <f>INDEX('WEG Motor'!$B$3:$AZ$55,
       MATCH(K40,'WEG Motor'!$A$3:$A$55,0),
       MATCH(L40,'WEG Motor'!$B$2:$AZ$2,0))%</f>
        <v>0.93099999999999994</v>
      </c>
      <c r="N40" s="9">
        <v>0.92</v>
      </c>
      <c r="O40" s="6">
        <v>0.86439999999999995</v>
      </c>
      <c r="P40" s="8">
        <v>2.6619999999999999</v>
      </c>
      <c r="Q40" s="20">
        <f>ROUNDUP(H40/(C38/10^3),2)</f>
        <v>298.07</v>
      </c>
      <c r="R40" s="302"/>
      <c r="S40" s="5"/>
      <c r="T40" s="79"/>
      <c r="U40" s="62">
        <f>R38*(C38/10^3)</f>
        <v>19.866</v>
      </c>
      <c r="V40" s="10"/>
      <c r="W40" s="1" t="s">
        <v>27</v>
      </c>
      <c r="X40" s="3">
        <v>0.8</v>
      </c>
      <c r="Z40" s="1" t="s">
        <v>28</v>
      </c>
      <c r="AA40" s="1">
        <v>9.81</v>
      </c>
      <c r="AC40" s="2" t="s">
        <v>20</v>
      </c>
    </row>
    <row r="41" spans="1:29" x14ac:dyDescent="0.3">
      <c r="A41" s="299"/>
      <c r="B41" s="302"/>
      <c r="C41" s="305"/>
      <c r="D41" s="18">
        <f>IFERROR(ROUNDUP((U41*$X$3*1000*$X$4*$X$2)/((C38/10^3)*$X$5*$AA$4),2),"")</f>
        <v>21.240000000000002</v>
      </c>
      <c r="E41" s="19">
        <v>22</v>
      </c>
      <c r="F41" s="21">
        <f>((($X$5*$AA$4*(C38*0.001)*E41)/1000)/O41)</f>
        <v>16.742283439454503</v>
      </c>
      <c r="G41" s="21">
        <f t="shared" si="16"/>
        <v>17.983118624548339</v>
      </c>
      <c r="H41" s="21">
        <f t="shared" si="17"/>
        <v>19.546868070161239</v>
      </c>
      <c r="I41" s="25" t="s">
        <v>30</v>
      </c>
      <c r="J41" s="25" t="s">
        <v>60</v>
      </c>
      <c r="K41" s="7">
        <v>22</v>
      </c>
      <c r="L41" s="7" t="s">
        <v>35</v>
      </c>
      <c r="M41" s="11">
        <f>INDEX('WEG Motor'!$B$3:$AZ$55,
       MATCH(K41,'WEG Motor'!$A$3:$A$55,0),
       MATCH(L41,'WEG Motor'!$B$2:$AZ$2,0))%</f>
        <v>0.93099999999999994</v>
      </c>
      <c r="N41" s="9">
        <v>0.92</v>
      </c>
      <c r="O41" s="6">
        <v>0.85060000000000002</v>
      </c>
      <c r="P41" s="8">
        <v>3.1339999999999999</v>
      </c>
      <c r="Q41" s="20">
        <f>ROUNDUP(H41/(C38/10^3),2)</f>
        <v>296.17</v>
      </c>
      <c r="R41" s="302"/>
      <c r="S41" s="5"/>
      <c r="T41" s="79"/>
      <c r="U41" s="62">
        <f>R38*(C38/10^3)</f>
        <v>19.866</v>
      </c>
      <c r="V41" s="10"/>
      <c r="W41" s="1" t="s">
        <v>22</v>
      </c>
      <c r="X41" s="1">
        <v>999.78</v>
      </c>
      <c r="Z41" s="1" t="s">
        <v>25</v>
      </c>
      <c r="AA41" s="1" t="s">
        <v>26</v>
      </c>
      <c r="AC41" s="2"/>
    </row>
    <row r="42" spans="1:29" x14ac:dyDescent="0.3">
      <c r="A42" s="299"/>
      <c r="B42" s="302"/>
      <c r="C42" s="305"/>
      <c r="D42" s="18">
        <f>IFERROR(ROUNDUP((U42*$X$3*1000*$X$4*$X$2)/((C38/10^3)*$X$5*$AA$4),2),"")</f>
        <v>21.240000000000002</v>
      </c>
      <c r="E42" s="19">
        <v>21</v>
      </c>
      <c r="F42" s="21">
        <f>((($X$5*$AA$4*(C38*0.001)*E42)/1000)/O42)</f>
        <v>16.718323373262823</v>
      </c>
      <c r="G42" s="21">
        <f t="shared" si="16"/>
        <v>18.054344895532207</v>
      </c>
      <c r="H42" s="21">
        <f t="shared" si="17"/>
        <v>19.624287929926311</v>
      </c>
      <c r="I42" s="12" t="s">
        <v>18</v>
      </c>
      <c r="J42" s="12" t="s">
        <v>102</v>
      </c>
      <c r="K42" s="7">
        <v>18.5</v>
      </c>
      <c r="L42" s="7" t="s">
        <v>35</v>
      </c>
      <c r="M42" s="11">
        <f>INDEX('WEG Motor'!$B$3:$AZ$55,
       MATCH(K42,'WEG Motor'!$A$3:$A$55,0),
       MATCH(L42,'WEG Motor'!$B$2:$AZ$2,0))%</f>
        <v>0.92599999999999993</v>
      </c>
      <c r="N42" s="9">
        <v>0.92</v>
      </c>
      <c r="O42" s="6">
        <v>0.81310000000000004</v>
      </c>
      <c r="P42" s="76">
        <v>4.45</v>
      </c>
      <c r="Q42" s="20">
        <f>ROUNDUP(H42/(C38/10^3),2)</f>
        <v>297.33999999999997</v>
      </c>
      <c r="R42" s="302"/>
      <c r="S42" s="5"/>
      <c r="T42" s="79"/>
      <c r="U42" s="62">
        <f>R38*(C38/10^3)</f>
        <v>19.866</v>
      </c>
      <c r="V42" s="10"/>
      <c r="Z42" s="1">
        <v>1</v>
      </c>
      <c r="AA42" s="1">
        <v>3.5169999999999999</v>
      </c>
      <c r="AC42" s="2" t="s">
        <v>21</v>
      </c>
    </row>
    <row r="43" spans="1:29" ht="15" thickBot="1" x14ac:dyDescent="0.35">
      <c r="A43" s="300"/>
      <c r="B43" s="303"/>
      <c r="C43" s="306"/>
      <c r="D43" s="63">
        <f>IFERROR(ROUNDUP((U43*$X$3*1000*$X$4*$X$2)/((C38/10^3)*$X$5*$AA$4),2),"")</f>
        <v>21.240000000000002</v>
      </c>
      <c r="E43" s="19">
        <v>21</v>
      </c>
      <c r="F43" s="65">
        <f>((($X$5*$AA$4*(C38*0.001)*E43)/1000)/O43)</f>
        <v>16.718323373262823</v>
      </c>
      <c r="G43" s="65">
        <f t="shared" si="16"/>
        <v>18.054344895532207</v>
      </c>
      <c r="H43" s="65">
        <f t="shared" si="17"/>
        <v>19.624287929926311</v>
      </c>
      <c r="I43" s="66" t="s">
        <v>32</v>
      </c>
      <c r="J43" s="66" t="s">
        <v>103</v>
      </c>
      <c r="K43" s="7">
        <v>18.5</v>
      </c>
      <c r="L43" s="7" t="s">
        <v>35</v>
      </c>
      <c r="M43" s="68">
        <f>INDEX('WEG Motor'!$B$3:$AZ$55,
       MATCH(K43,'WEG Motor'!$A$3:$A$55,0),
       MATCH(L43,'WEG Motor'!$B$2:$AZ$2,0))%</f>
        <v>0.92599999999999993</v>
      </c>
      <c r="N43" s="69">
        <v>0.92</v>
      </c>
      <c r="O43" s="6">
        <v>0.81310000000000004</v>
      </c>
      <c r="P43" s="76">
        <v>4.45</v>
      </c>
      <c r="Q43" s="72">
        <f>ROUNDUP(H43/(C38/10^3),2)</f>
        <v>297.33999999999997</v>
      </c>
      <c r="R43" s="303"/>
      <c r="S43" s="73"/>
      <c r="T43" s="80"/>
      <c r="U43" s="74">
        <f>R38*(C38/10^3)</f>
        <v>19.866</v>
      </c>
    </row>
    <row r="44" spans="1:29" x14ac:dyDescent="0.3">
      <c r="A44" s="298">
        <v>7</v>
      </c>
      <c r="B44" s="301">
        <v>600</v>
      </c>
      <c r="C44" s="304">
        <f t="shared" ref="C44" si="18" xml:space="preserve"> ROUND((B44 * $AA$6 * 1000) / ($X$5*$AA$2*$AA$3), 0)</f>
        <v>72</v>
      </c>
      <c r="D44" s="50">
        <f>IFERROR(ROUNDUP((U44*$X$3*1000*$X$4*$X$2)/((C44/10^3)*$X$5*$AA$4),2),"")</f>
        <v>21.240000000000002</v>
      </c>
      <c r="E44" s="51">
        <v>22</v>
      </c>
      <c r="F44" s="52">
        <f>((($X$5*$AA$4*(C44*0.001)*E44)/1000)/O44)</f>
        <v>18.272902153846157</v>
      </c>
      <c r="G44" s="52">
        <f>F44/M44</f>
        <v>19.627177394034543</v>
      </c>
      <c r="H44" s="52">
        <f>G44/N44</f>
        <v>21.333888471776678</v>
      </c>
      <c r="I44" s="53" t="s">
        <v>14</v>
      </c>
      <c r="J44" s="53" t="s">
        <v>54</v>
      </c>
      <c r="K44" s="54">
        <v>22</v>
      </c>
      <c r="L44" s="54" t="s">
        <v>35</v>
      </c>
      <c r="M44" s="55">
        <f>INDEX('WEG Motor'!$B$3:$AZ$55,
       MATCH(K44,'WEG Motor'!$A$3:$A$55,0),
       MATCH(L44,'WEG Motor'!$B$2:$AZ$2,0))%</f>
        <v>0.93099999999999994</v>
      </c>
      <c r="N44" s="56">
        <v>0.92</v>
      </c>
      <c r="O44" s="57">
        <v>0.85019999999999996</v>
      </c>
      <c r="P44" s="58">
        <v>3.2509999999999999</v>
      </c>
      <c r="Q44" s="59">
        <f>ROUNDUP(H44/(C44/10^3),2)</f>
        <v>296.31</v>
      </c>
      <c r="R44" s="301">
        <v>301</v>
      </c>
      <c r="S44" s="60"/>
      <c r="T44" s="78"/>
      <c r="U44" s="61">
        <f>R44*(C44/10^3)</f>
        <v>21.671999999999997</v>
      </c>
      <c r="W44" s="1" t="s">
        <v>17</v>
      </c>
      <c r="X44" s="3">
        <v>0.92</v>
      </c>
      <c r="Z44" s="1" t="s">
        <v>23</v>
      </c>
      <c r="AA44" s="1">
        <v>7</v>
      </c>
      <c r="AC44" s="4" t="s">
        <v>38</v>
      </c>
    </row>
    <row r="45" spans="1:29" x14ac:dyDescent="0.3">
      <c r="A45" s="299"/>
      <c r="B45" s="302"/>
      <c r="C45" s="305"/>
      <c r="D45" s="18">
        <f>IFERROR(ROUNDUP((U45*$X$3*1000*$X$4*$X$2)/((C44/10^3)*$X$5*$AA$4),2),"")</f>
        <v>21.240000000000002</v>
      </c>
      <c r="E45" s="19">
        <v>22.5</v>
      </c>
      <c r="F45" s="21">
        <f>((($X$5*$AA$4*(C44*0.001)*E45)/1000)/O45)</f>
        <v>18.31550860634006</v>
      </c>
      <c r="G45" s="21">
        <f t="shared" ref="G45:G49" si="19">F45/M45</f>
        <v>19.672941575016178</v>
      </c>
      <c r="H45" s="21">
        <f t="shared" ref="H45:H49" si="20">G45/N45</f>
        <v>21.383632146756714</v>
      </c>
      <c r="I45" s="23" t="s">
        <v>15</v>
      </c>
      <c r="J45" s="23" t="s">
        <v>85</v>
      </c>
      <c r="K45" s="7">
        <v>22</v>
      </c>
      <c r="L45" s="7" t="s">
        <v>35</v>
      </c>
      <c r="M45" s="11">
        <f>INDEX('WEG Motor'!$B$3:$AZ$55,
       MATCH(K45,'WEG Motor'!$A$3:$A$55,0),
       MATCH(L45,'WEG Motor'!$B$2:$AZ$2,0))%</f>
        <v>0.93099999999999994</v>
      </c>
      <c r="N45" s="9">
        <v>0.92</v>
      </c>
      <c r="O45" s="6">
        <v>0.86750000000000005</v>
      </c>
      <c r="P45" s="8">
        <v>2.7610000000000001</v>
      </c>
      <c r="Q45" s="37">
        <f>ROUNDUP(H45/(C44/10^3),2)</f>
        <v>297</v>
      </c>
      <c r="R45" s="302"/>
      <c r="S45" s="5"/>
      <c r="T45" s="79"/>
      <c r="U45" s="62">
        <f>R44*(C44/10^3)</f>
        <v>21.671999999999997</v>
      </c>
      <c r="W45" s="1" t="s">
        <v>19</v>
      </c>
      <c r="X45" s="3">
        <v>0.94</v>
      </c>
      <c r="Z45" s="1" t="s">
        <v>24</v>
      </c>
      <c r="AA45" s="1">
        <v>4.1859999999999999</v>
      </c>
    </row>
    <row r="46" spans="1:29" x14ac:dyDescent="0.3">
      <c r="A46" s="299"/>
      <c r="B46" s="302"/>
      <c r="C46" s="305"/>
      <c r="D46" s="18">
        <f>IFERROR(ROUNDUP((U46*$X$3*1000*$X$4*$X$2)/((C44/10^3)*$X$5*$AA$4),2),"")</f>
        <v>21.240000000000002</v>
      </c>
      <c r="E46" s="19">
        <v>22.5</v>
      </c>
      <c r="F46" s="21">
        <f>((($X$5*$AA$4*(C44*0.001)*E46)/1000)/O46)</f>
        <v>18.31550860634006</v>
      </c>
      <c r="G46" s="21">
        <f t="shared" si="19"/>
        <v>19.672941575016178</v>
      </c>
      <c r="H46" s="21">
        <f t="shared" si="20"/>
        <v>21.383632146756714</v>
      </c>
      <c r="I46" s="24" t="s">
        <v>16</v>
      </c>
      <c r="J46" s="24" t="s">
        <v>75</v>
      </c>
      <c r="K46" s="7">
        <v>22</v>
      </c>
      <c r="L46" s="7" t="s">
        <v>35</v>
      </c>
      <c r="M46" s="11">
        <f>INDEX('WEG Motor'!$B$3:$AZ$55,
       MATCH(K46,'WEG Motor'!$A$3:$A$55,0),
       MATCH(L46,'WEG Motor'!$B$2:$AZ$2,0))%</f>
        <v>0.93099999999999994</v>
      </c>
      <c r="N46" s="9">
        <v>0.92</v>
      </c>
      <c r="O46" s="6">
        <v>0.86750000000000005</v>
      </c>
      <c r="P46" s="8">
        <v>2.7610000000000001</v>
      </c>
      <c r="Q46" s="37">
        <f>ROUNDUP(H46/(C44/10^3),2)</f>
        <v>297</v>
      </c>
      <c r="R46" s="302"/>
      <c r="S46" s="5"/>
      <c r="T46" s="79"/>
      <c r="U46" s="62">
        <f>R44*(C44/10^3)</f>
        <v>21.671999999999997</v>
      </c>
      <c r="V46" s="10"/>
      <c r="W46" s="1" t="s">
        <v>27</v>
      </c>
      <c r="X46" s="3">
        <v>0.8</v>
      </c>
      <c r="Z46" s="1" t="s">
        <v>28</v>
      </c>
      <c r="AA46" s="1">
        <v>9.81</v>
      </c>
      <c r="AC46" s="2" t="s">
        <v>20</v>
      </c>
    </row>
    <row r="47" spans="1:29" x14ac:dyDescent="0.3">
      <c r="A47" s="299"/>
      <c r="B47" s="302"/>
      <c r="C47" s="305"/>
      <c r="D47" s="18">
        <f>IFERROR(ROUNDUP((U47*$X$3*1000*$X$4*$X$2)/((C44/10^3)*$X$5*$AA$4),2),"")</f>
        <v>21.240000000000002</v>
      </c>
      <c r="E47" s="19">
        <v>22</v>
      </c>
      <c r="F47" s="21">
        <f>((($X$5*$AA$4*(C44*0.001)*E47)/1000)/O47)</f>
        <v>18.268604669802446</v>
      </c>
      <c r="G47" s="21">
        <f t="shared" si="19"/>
        <v>19.622561406876958</v>
      </c>
      <c r="H47" s="21">
        <f t="shared" si="20"/>
        <v>21.328871094431474</v>
      </c>
      <c r="I47" s="25" t="s">
        <v>30</v>
      </c>
      <c r="J47" s="25" t="s">
        <v>60</v>
      </c>
      <c r="K47" s="7">
        <v>22</v>
      </c>
      <c r="L47" s="7" t="s">
        <v>35</v>
      </c>
      <c r="M47" s="11">
        <f>INDEX('WEG Motor'!$B$3:$AZ$55,
       MATCH(K47,'WEG Motor'!$A$3:$A$55,0),
       MATCH(L47,'WEG Motor'!$B$2:$AZ$2,0))%</f>
        <v>0.93099999999999994</v>
      </c>
      <c r="N47" s="9">
        <v>0.92</v>
      </c>
      <c r="O47" s="6">
        <v>0.85040000000000004</v>
      </c>
      <c r="P47" s="8">
        <v>3.3119999999999998</v>
      </c>
      <c r="Q47" s="20">
        <f>ROUNDUP(H47/(C44/10^3),2)</f>
        <v>296.24</v>
      </c>
      <c r="R47" s="302"/>
      <c r="S47" s="5"/>
      <c r="T47" s="79"/>
      <c r="U47" s="62">
        <f>R44*(C44/10^3)</f>
        <v>21.671999999999997</v>
      </c>
      <c r="V47" s="10"/>
      <c r="W47" s="1" t="s">
        <v>22</v>
      </c>
      <c r="X47" s="1">
        <v>999.78</v>
      </c>
      <c r="Z47" s="1" t="s">
        <v>25</v>
      </c>
      <c r="AA47" s="1" t="s">
        <v>26</v>
      </c>
      <c r="AC47" s="2"/>
    </row>
    <row r="48" spans="1:29" x14ac:dyDescent="0.3">
      <c r="A48" s="299"/>
      <c r="B48" s="302"/>
      <c r="C48" s="305"/>
      <c r="D48" s="18">
        <f>IFERROR(ROUNDUP((U48*$X$3*1000*$X$4*$X$2)/((C44/10^3)*$X$5*$AA$4),2),"")</f>
        <v>21.240000000000002</v>
      </c>
      <c r="E48" s="19">
        <v>21</v>
      </c>
      <c r="F48" s="21">
        <f>((($X$5*$AA$4*(C44*0.001)*E48)/1000)/O48)</f>
        <v>18.458372917102317</v>
      </c>
      <c r="G48" s="21">
        <f t="shared" si="19"/>
        <v>19.826394110743628</v>
      </c>
      <c r="H48" s="21">
        <f t="shared" si="20"/>
        <v>21.550428381243073</v>
      </c>
      <c r="I48" s="12" t="s">
        <v>18</v>
      </c>
      <c r="J48" s="12" t="s">
        <v>102</v>
      </c>
      <c r="K48" s="7">
        <v>22</v>
      </c>
      <c r="L48" s="7" t="s">
        <v>35</v>
      </c>
      <c r="M48" s="11">
        <f>INDEX('WEG Motor'!$B$3:$AZ$55,
       MATCH(K48,'WEG Motor'!$A$3:$A$55,0),
       MATCH(L48,'WEG Motor'!$B$2:$AZ$2,0))%</f>
        <v>0.93099999999999994</v>
      </c>
      <c r="N48" s="9">
        <v>0.92</v>
      </c>
      <c r="O48" s="6">
        <v>0.8034</v>
      </c>
      <c r="P48" s="76">
        <v>4.3499999999999996</v>
      </c>
      <c r="Q48" s="20">
        <f>ROUNDUP(H48/(C44/10^3),2)</f>
        <v>299.32</v>
      </c>
      <c r="R48" s="302"/>
      <c r="S48" s="5"/>
      <c r="T48" s="79"/>
      <c r="U48" s="62">
        <f>R44*(C44/10^3)</f>
        <v>21.671999999999997</v>
      </c>
      <c r="V48" s="10"/>
      <c r="Z48" s="1">
        <v>1</v>
      </c>
      <c r="AA48" s="1">
        <v>3.5169999999999999</v>
      </c>
      <c r="AC48" s="2" t="s">
        <v>21</v>
      </c>
    </row>
    <row r="49" spans="1:29" ht="15" thickBot="1" x14ac:dyDescent="0.35">
      <c r="A49" s="300"/>
      <c r="B49" s="303"/>
      <c r="C49" s="306"/>
      <c r="D49" s="63">
        <f>IFERROR(ROUNDUP((U49*$X$3*1000*$X$4*$X$2)/((C44/10^3)*$X$5*$AA$4),2),"")</f>
        <v>21.240000000000002</v>
      </c>
      <c r="E49" s="19">
        <v>21</v>
      </c>
      <c r="F49" s="65">
        <f>((($X$5*$AA$4*(C44*0.001)*E49)/1000)/O49)</f>
        <v>18.458372917102317</v>
      </c>
      <c r="G49" s="65">
        <f t="shared" si="19"/>
        <v>19.826394110743628</v>
      </c>
      <c r="H49" s="65">
        <f t="shared" si="20"/>
        <v>21.550428381243073</v>
      </c>
      <c r="I49" s="66" t="s">
        <v>32</v>
      </c>
      <c r="J49" s="66" t="s">
        <v>103</v>
      </c>
      <c r="K49" s="7">
        <v>22</v>
      </c>
      <c r="L49" s="7" t="s">
        <v>35</v>
      </c>
      <c r="M49" s="68">
        <f>INDEX('WEG Motor'!$B$3:$AZ$55,
       MATCH(K49,'WEG Motor'!$A$3:$A$55,0),
       MATCH(L49,'WEG Motor'!$B$2:$AZ$2,0))%</f>
        <v>0.93099999999999994</v>
      </c>
      <c r="N49" s="69">
        <v>0.92</v>
      </c>
      <c r="O49" s="6">
        <v>0.8034</v>
      </c>
      <c r="P49" s="76">
        <v>4.3499999999999996</v>
      </c>
      <c r="Q49" s="72">
        <f>ROUNDUP(H49/(C44/10^3),2)</f>
        <v>299.32</v>
      </c>
      <c r="R49" s="303"/>
      <c r="S49" s="73"/>
      <c r="T49" s="80"/>
      <c r="U49" s="74">
        <f>R44*(C44/10^3)</f>
        <v>21.671999999999997</v>
      </c>
    </row>
    <row r="50" spans="1:29" x14ac:dyDescent="0.3">
      <c r="A50" s="298">
        <v>8</v>
      </c>
      <c r="B50" s="301">
        <v>650</v>
      </c>
      <c r="C50" s="304">
        <f t="shared" ref="C50" si="21" xml:space="preserve"> ROUND((B50 * $AA$6 * 1000) / ($X$5*$AA$2*$AA$3), 0)</f>
        <v>78</v>
      </c>
      <c r="D50" s="50">
        <f>IFERROR(ROUNDUP((U50*$X$3*1000*$X$4*$X$2)/((C50/10^3)*$X$5*$AA$4),2),"")</f>
        <v>21.240000000000002</v>
      </c>
      <c r="E50" s="51">
        <v>21.5</v>
      </c>
      <c r="F50" s="52">
        <f>((($X$5*$AA$4*(C50*0.001)*E50)/1000)/O50)</f>
        <v>19.40050801910828</v>
      </c>
      <c r="G50" s="52">
        <f>F50/M50</f>
        <v>20.838354478096971</v>
      </c>
      <c r="H50" s="52">
        <f>G50/N50</f>
        <v>22.650385302279314</v>
      </c>
      <c r="I50" s="53" t="s">
        <v>14</v>
      </c>
      <c r="J50" s="53" t="s">
        <v>54</v>
      </c>
      <c r="K50" s="54">
        <v>22</v>
      </c>
      <c r="L50" s="54" t="s">
        <v>35</v>
      </c>
      <c r="M50" s="55">
        <f>INDEX('WEG Motor'!$B$3:$AZ$55,
       MATCH(K50,'WEG Motor'!$A$3:$A$55,0),
       MATCH(L50,'WEG Motor'!$B$2:$AZ$2,0))%</f>
        <v>0.93099999999999994</v>
      </c>
      <c r="N50" s="56">
        <v>0.92</v>
      </c>
      <c r="O50" s="57">
        <v>0.8478</v>
      </c>
      <c r="P50" s="58">
        <v>3.5739999999999998</v>
      </c>
      <c r="Q50" s="59">
        <f>ROUNDUP(H50/(C50/10^3),2)</f>
        <v>290.39</v>
      </c>
      <c r="R50" s="301">
        <v>301</v>
      </c>
      <c r="S50" s="60"/>
      <c r="T50" s="78"/>
      <c r="U50" s="61">
        <f>R50*(C50/10^3)</f>
        <v>23.478000000000002</v>
      </c>
      <c r="W50" s="1" t="s">
        <v>17</v>
      </c>
      <c r="X50" s="3">
        <v>0.92</v>
      </c>
      <c r="Z50" s="1" t="s">
        <v>23</v>
      </c>
      <c r="AA50" s="1">
        <v>7</v>
      </c>
      <c r="AC50" s="4" t="s">
        <v>38</v>
      </c>
    </row>
    <row r="51" spans="1:29" x14ac:dyDescent="0.3">
      <c r="A51" s="299"/>
      <c r="B51" s="302"/>
      <c r="C51" s="305"/>
      <c r="D51" s="18">
        <f>IFERROR(ROUNDUP((U51*$X$3*1000*$X$4*$X$2)/((C50/10^3)*$X$5*$AA$4),2),"")</f>
        <v>21.240000000000002</v>
      </c>
      <c r="E51" s="19">
        <v>22</v>
      </c>
      <c r="F51" s="21">
        <f>((($X$5*$AA$4*(C50*0.001)*E51)/1000)/O51)</f>
        <v>19.412060586851211</v>
      </c>
      <c r="G51" s="21">
        <f t="shared" ref="G51:G55" si="22">F51/M51</f>
        <v>20.850763251182826</v>
      </c>
      <c r="H51" s="21">
        <f t="shared" ref="H51:H55" si="23">G51/N51</f>
        <v>22.663873099111768</v>
      </c>
      <c r="I51" s="23" t="s">
        <v>15</v>
      </c>
      <c r="J51" s="23" t="s">
        <v>85</v>
      </c>
      <c r="K51" s="7">
        <v>22</v>
      </c>
      <c r="L51" s="7" t="s">
        <v>35</v>
      </c>
      <c r="M51" s="11">
        <f>INDEX('WEG Motor'!$B$3:$AZ$55,
       MATCH(K51,'WEG Motor'!$A$3:$A$55,0),
       MATCH(L51,'WEG Motor'!$B$2:$AZ$2,0))%</f>
        <v>0.93099999999999994</v>
      </c>
      <c r="N51" s="9">
        <v>0.92</v>
      </c>
      <c r="O51" s="6">
        <v>0.86699999999999999</v>
      </c>
      <c r="P51" s="8">
        <v>2.911</v>
      </c>
      <c r="Q51" s="20">
        <f>ROUNDUP(H51/(C50/10^3),2)</f>
        <v>290.57</v>
      </c>
      <c r="R51" s="302"/>
      <c r="S51" s="5"/>
      <c r="T51" s="79"/>
      <c r="U51" s="62">
        <f>R50*(C50/10^3)</f>
        <v>23.478000000000002</v>
      </c>
      <c r="W51" s="1" t="s">
        <v>19</v>
      </c>
      <c r="X51" s="3">
        <v>0.94</v>
      </c>
      <c r="Z51" s="1" t="s">
        <v>24</v>
      </c>
      <c r="AA51" s="1">
        <v>4.1859999999999999</v>
      </c>
    </row>
    <row r="52" spans="1:29" x14ac:dyDescent="0.3">
      <c r="A52" s="299"/>
      <c r="B52" s="302"/>
      <c r="C52" s="305"/>
      <c r="D52" s="18">
        <f>IFERROR(ROUNDUP((U52*$X$3*1000*$X$4*$X$2)/((C50/10^3)*$X$5*$AA$4),2),"")</f>
        <v>21.240000000000002</v>
      </c>
      <c r="E52" s="19">
        <v>22</v>
      </c>
      <c r="F52" s="21">
        <f>((($X$5*$AA$4*(C50*0.001)*E52)/1000)/O52)</f>
        <v>19.412060586851211</v>
      </c>
      <c r="G52" s="21">
        <f t="shared" si="22"/>
        <v>20.850763251182826</v>
      </c>
      <c r="H52" s="21">
        <f t="shared" si="23"/>
        <v>22.663873099111768</v>
      </c>
      <c r="I52" s="24" t="s">
        <v>16</v>
      </c>
      <c r="J52" s="24" t="s">
        <v>75</v>
      </c>
      <c r="K52" s="7">
        <v>22</v>
      </c>
      <c r="L52" s="7" t="s">
        <v>35</v>
      </c>
      <c r="M52" s="11">
        <f>INDEX('WEG Motor'!$B$3:$AZ$55,
       MATCH(K52,'WEG Motor'!$A$3:$A$55,0),
       MATCH(L52,'WEG Motor'!$B$2:$AZ$2,0))%</f>
        <v>0.93099999999999994</v>
      </c>
      <c r="N52" s="9">
        <v>0.92</v>
      </c>
      <c r="O52" s="6">
        <v>0.86699999999999999</v>
      </c>
      <c r="P52" s="8">
        <v>2.911</v>
      </c>
      <c r="Q52" s="20">
        <f>ROUNDUP(H52/(C50/10^3),2)</f>
        <v>290.57</v>
      </c>
      <c r="R52" s="302"/>
      <c r="S52" s="5"/>
      <c r="T52" s="79"/>
      <c r="U52" s="62">
        <f>R50*(C50/10^3)</f>
        <v>23.478000000000002</v>
      </c>
      <c r="V52" s="10"/>
      <c r="W52" s="1" t="s">
        <v>27</v>
      </c>
      <c r="X52" s="3">
        <v>0.8</v>
      </c>
      <c r="Z52" s="1" t="s">
        <v>28</v>
      </c>
      <c r="AA52" s="1">
        <v>9.81</v>
      </c>
      <c r="AC52" s="2" t="s">
        <v>20</v>
      </c>
    </row>
    <row r="53" spans="1:29" x14ac:dyDescent="0.3">
      <c r="A53" s="299"/>
      <c r="B53" s="302"/>
      <c r="C53" s="305"/>
      <c r="D53" s="18">
        <f>IFERROR(ROUNDUP((U53*$X$3*1000*$X$4*$X$2)/((C50/10^3)*$X$5*$AA$4),2),"")</f>
        <v>21.240000000000002</v>
      </c>
      <c r="E53" s="19">
        <v>21.5</v>
      </c>
      <c r="F53" s="21">
        <f>((($X$5*$AA$4*(C50*0.001)*E53)/1000)/O53)</f>
        <v>19.402796624513389</v>
      </c>
      <c r="G53" s="21">
        <f t="shared" si="22"/>
        <v>20.840812700873673</v>
      </c>
      <c r="H53" s="21">
        <f t="shared" si="23"/>
        <v>22.65305728355834</v>
      </c>
      <c r="I53" s="25" t="s">
        <v>30</v>
      </c>
      <c r="J53" s="25" t="s">
        <v>60</v>
      </c>
      <c r="K53" s="7">
        <v>22</v>
      </c>
      <c r="L53" s="7" t="s">
        <v>35</v>
      </c>
      <c r="M53" s="11">
        <f>INDEX('WEG Motor'!$B$3:$AZ$55,
       MATCH(K53,'WEG Motor'!$A$3:$A$55,0),
       MATCH(L53,'WEG Motor'!$B$2:$AZ$2,0))%</f>
        <v>0.93099999999999994</v>
      </c>
      <c r="N53" s="9">
        <v>0.92</v>
      </c>
      <c r="O53" s="6">
        <v>0.84770000000000001</v>
      </c>
      <c r="P53" s="8">
        <v>3.593</v>
      </c>
      <c r="Q53" s="20">
        <f>ROUNDUP(H53/(C50/10^3),2)</f>
        <v>290.43</v>
      </c>
      <c r="R53" s="302"/>
      <c r="S53" s="5"/>
      <c r="T53" s="79"/>
      <c r="U53" s="62">
        <f>R50*(C50/10^3)</f>
        <v>23.478000000000002</v>
      </c>
      <c r="V53" s="10"/>
      <c r="W53" s="1" t="s">
        <v>22</v>
      </c>
      <c r="X53" s="1">
        <v>999.78</v>
      </c>
      <c r="Z53" s="1" t="s">
        <v>25</v>
      </c>
      <c r="AA53" s="1" t="s">
        <v>26</v>
      </c>
      <c r="AC53" s="2"/>
    </row>
    <row r="54" spans="1:29" x14ac:dyDescent="0.3">
      <c r="A54" s="299"/>
      <c r="B54" s="302"/>
      <c r="C54" s="305"/>
      <c r="D54" s="18">
        <f>IFERROR(ROUNDUP((U54*$X$3*1000*$X$4*$X$2)/((C50/10^3)*$X$5*$AA$4),2),"")</f>
        <v>21.240000000000002</v>
      </c>
      <c r="E54" s="19">
        <v>21</v>
      </c>
      <c r="F54" s="21">
        <f>((($X$5*$AA$4*(C50*0.001)*E54)/1000)/O54)</f>
        <v>19.75801853203788</v>
      </c>
      <c r="G54" s="21">
        <f t="shared" si="22"/>
        <v>21.222361473724899</v>
      </c>
      <c r="H54" s="21">
        <f t="shared" si="23"/>
        <v>23.06778421057054</v>
      </c>
      <c r="I54" s="12" t="s">
        <v>18</v>
      </c>
      <c r="J54" s="12" t="s">
        <v>104</v>
      </c>
      <c r="K54" s="7">
        <v>22</v>
      </c>
      <c r="L54" s="7" t="s">
        <v>35</v>
      </c>
      <c r="M54" s="11">
        <f>INDEX('WEG Motor'!$B$3:$AZ$55,
       MATCH(K54,'WEG Motor'!$A$3:$A$55,0),
       MATCH(L54,'WEG Motor'!$B$2:$AZ$2,0))%</f>
        <v>0.93099999999999994</v>
      </c>
      <c r="N54" s="9">
        <v>0.92</v>
      </c>
      <c r="O54" s="6">
        <v>0.81310000000000004</v>
      </c>
      <c r="P54" s="76">
        <v>3.94</v>
      </c>
      <c r="Q54" s="20">
        <f>ROUNDUP(H54/(C50/10^3),2)</f>
        <v>295.75</v>
      </c>
      <c r="R54" s="302"/>
      <c r="S54" s="5"/>
      <c r="T54" s="79"/>
      <c r="U54" s="62">
        <f>R50*(C50/10^3)</f>
        <v>23.478000000000002</v>
      </c>
      <c r="V54" s="10"/>
      <c r="Z54" s="1">
        <v>1</v>
      </c>
      <c r="AA54" s="1">
        <v>3.5169999999999999</v>
      </c>
      <c r="AC54" s="2" t="s">
        <v>21</v>
      </c>
    </row>
    <row r="55" spans="1:29" ht="15" thickBot="1" x14ac:dyDescent="0.35">
      <c r="A55" s="300"/>
      <c r="B55" s="303"/>
      <c r="C55" s="306"/>
      <c r="D55" s="63">
        <f>IFERROR(ROUNDUP((U55*$X$3*1000*$X$4*$X$2)/((C50/10^3)*$X$5*$AA$4),2),"")</f>
        <v>21.240000000000002</v>
      </c>
      <c r="E55" s="19">
        <v>21</v>
      </c>
      <c r="F55" s="65">
        <f>((($X$5*$AA$4*(C50*0.001)*E55)/1000)/O55)</f>
        <v>19.75801853203788</v>
      </c>
      <c r="G55" s="65">
        <f t="shared" si="22"/>
        <v>21.222361473724899</v>
      </c>
      <c r="H55" s="65">
        <f t="shared" si="23"/>
        <v>23.06778421057054</v>
      </c>
      <c r="I55" s="66" t="s">
        <v>32</v>
      </c>
      <c r="J55" s="66" t="s">
        <v>105</v>
      </c>
      <c r="K55" s="7">
        <v>22</v>
      </c>
      <c r="L55" s="7" t="s">
        <v>35</v>
      </c>
      <c r="M55" s="68">
        <f>INDEX('WEG Motor'!$B$3:$AZ$55,
       MATCH(K55,'WEG Motor'!$A$3:$A$55,0),
       MATCH(L55,'WEG Motor'!$B$2:$AZ$2,0))%</f>
        <v>0.93099999999999994</v>
      </c>
      <c r="N55" s="69">
        <v>0.92</v>
      </c>
      <c r="O55" s="6">
        <v>0.81310000000000004</v>
      </c>
      <c r="P55" s="76">
        <v>3.94</v>
      </c>
      <c r="Q55" s="72">
        <f>ROUNDUP(H55/(C50/10^3),2)</f>
        <v>295.75</v>
      </c>
      <c r="R55" s="303"/>
      <c r="S55" s="73"/>
      <c r="T55" s="80"/>
      <c r="U55" s="74">
        <f>R50*(C50/10^3)</f>
        <v>23.478000000000002</v>
      </c>
    </row>
    <row r="56" spans="1:29" x14ac:dyDescent="0.3">
      <c r="A56" s="298">
        <v>9</v>
      </c>
      <c r="B56" s="301">
        <v>700</v>
      </c>
      <c r="C56" s="304">
        <f t="shared" ref="C56" si="24" xml:space="preserve"> ROUND((B56 * $AA$6 * 1000) / ($X$5*$AA$2*$AA$3), 0)</f>
        <v>84</v>
      </c>
      <c r="D56" s="50">
        <f>IFERROR(ROUNDUP((U56*$X$3*1000*$X$4*$X$2)/((C56/10^3)*$X$5*$AA$4),2),"")</f>
        <v>21.240000000000002</v>
      </c>
      <c r="E56" s="51">
        <v>22</v>
      </c>
      <c r="F56" s="52">
        <f>((($X$5*$AA$4*(C56*0.001)*E56)/1000)/O56)</f>
        <v>21.602969781168056</v>
      </c>
      <c r="G56" s="52">
        <f>F56/M56</f>
        <v>23.080095920051345</v>
      </c>
      <c r="H56" s="52">
        <f>G56/N56</f>
        <v>25.087060782664505</v>
      </c>
      <c r="I56" s="53" t="s">
        <v>14</v>
      </c>
      <c r="J56" s="53" t="s">
        <v>61</v>
      </c>
      <c r="K56" s="54">
        <v>30</v>
      </c>
      <c r="L56" s="54" t="s">
        <v>35</v>
      </c>
      <c r="M56" s="55">
        <f>INDEX('WEG Motor'!$B$3:$AZ$55,
       MATCH(K56,'WEG Motor'!$A$3:$A$55,0),
       MATCH(L56,'WEG Motor'!$B$2:$AZ$2,0))%</f>
        <v>0.93599999999999994</v>
      </c>
      <c r="N56" s="56">
        <v>0.92</v>
      </c>
      <c r="O56" s="57">
        <v>0.83899999999999997</v>
      </c>
      <c r="P56" s="58">
        <v>2.7759999999999998</v>
      </c>
      <c r="Q56" s="59">
        <f>ROUNDUP(H56/(C56/10^3),2)</f>
        <v>298.65999999999997</v>
      </c>
      <c r="R56" s="301">
        <v>301</v>
      </c>
      <c r="S56" s="60"/>
      <c r="T56" s="78"/>
      <c r="U56" s="61">
        <f>R56*(C56/10^3)</f>
        <v>25.284000000000002</v>
      </c>
      <c r="W56" s="1" t="s">
        <v>17</v>
      </c>
      <c r="X56" s="3">
        <v>0.92</v>
      </c>
      <c r="Z56" s="1" t="s">
        <v>23</v>
      </c>
      <c r="AA56" s="1">
        <v>7</v>
      </c>
      <c r="AC56" s="4" t="s">
        <v>38</v>
      </c>
    </row>
    <row r="57" spans="1:29" x14ac:dyDescent="0.3">
      <c r="A57" s="299"/>
      <c r="B57" s="302"/>
      <c r="C57" s="305"/>
      <c r="D57" s="18">
        <f>IFERROR(ROUNDUP((U57*$X$3*1000*$X$4*$X$2)/((C56/10^3)*$X$5*$AA$4),2),"")</f>
        <v>21.240000000000002</v>
      </c>
      <c r="E57" s="19">
        <v>22</v>
      </c>
      <c r="F57" s="21">
        <f>((($X$5*$AA$4*(C56*0.001)*E57)/1000)/O57)</f>
        <v>21.363615801980195</v>
      </c>
      <c r="G57" s="21">
        <f t="shared" ref="G57:G61" si="25">F57/M57</f>
        <v>22.824375856816449</v>
      </c>
      <c r="H57" s="21">
        <f t="shared" ref="H57:H61" si="26">G57/N57</f>
        <v>24.809104192191793</v>
      </c>
      <c r="I57" s="23" t="s">
        <v>15</v>
      </c>
      <c r="J57" s="23" t="s">
        <v>56</v>
      </c>
      <c r="K57" s="7">
        <v>30</v>
      </c>
      <c r="L57" s="7" t="s">
        <v>35</v>
      </c>
      <c r="M57" s="11">
        <f>INDEX('WEG Motor'!$B$3:$AZ$55,
       MATCH(K57,'WEG Motor'!$A$3:$A$55,0),
       MATCH(L57,'WEG Motor'!$B$2:$AZ$2,0))%</f>
        <v>0.93599999999999994</v>
      </c>
      <c r="N57" s="9">
        <v>0.92</v>
      </c>
      <c r="O57" s="6">
        <v>0.84840000000000004</v>
      </c>
      <c r="P57" s="8">
        <v>3.1179999999999999</v>
      </c>
      <c r="Q57" s="20">
        <f>ROUNDUP(H57/(C56/10^3),2)</f>
        <v>295.34999999999997</v>
      </c>
      <c r="R57" s="302"/>
      <c r="S57" s="5"/>
      <c r="T57" s="79"/>
      <c r="U57" s="62">
        <f>R56*(C56/10^3)</f>
        <v>25.284000000000002</v>
      </c>
      <c r="W57" s="1" t="s">
        <v>19</v>
      </c>
      <c r="X57" s="3">
        <v>0.94</v>
      </c>
      <c r="Z57" s="1" t="s">
        <v>24</v>
      </c>
      <c r="AA57" s="1">
        <v>4.1859999999999999</v>
      </c>
    </row>
    <row r="58" spans="1:29" x14ac:dyDescent="0.3">
      <c r="A58" s="299"/>
      <c r="B58" s="302"/>
      <c r="C58" s="305"/>
      <c r="D58" s="18">
        <f>IFERROR(ROUNDUP((U58*$X$3*1000*$X$4*$X$2)/((C56/10^3)*$X$5*$AA$4),2),"")</f>
        <v>21.240000000000002</v>
      </c>
      <c r="E58" s="19">
        <v>22</v>
      </c>
      <c r="F58" s="21">
        <f>((($X$5*$AA$4*(C56*0.001)*E58)/1000)/O58)</f>
        <v>21.363615801980195</v>
      </c>
      <c r="G58" s="21">
        <f t="shared" si="25"/>
        <v>22.824375856816449</v>
      </c>
      <c r="H58" s="21">
        <f t="shared" si="26"/>
        <v>24.809104192191793</v>
      </c>
      <c r="I58" s="24" t="s">
        <v>16</v>
      </c>
      <c r="J58" s="24" t="s">
        <v>66</v>
      </c>
      <c r="K58" s="7">
        <v>30</v>
      </c>
      <c r="L58" s="7" t="s">
        <v>35</v>
      </c>
      <c r="M58" s="11">
        <f>INDEX('WEG Motor'!$B$3:$AZ$55,
       MATCH(K58,'WEG Motor'!$A$3:$A$55,0),
       MATCH(L58,'WEG Motor'!$B$2:$AZ$2,0))%</f>
        <v>0.93599999999999994</v>
      </c>
      <c r="N58" s="9">
        <v>0.92</v>
      </c>
      <c r="O58" s="6">
        <v>0.84840000000000004</v>
      </c>
      <c r="P58" s="8">
        <v>3.1179999999999999</v>
      </c>
      <c r="Q58" s="20">
        <f>ROUNDUP(H58/(C56/10^3),2)</f>
        <v>295.34999999999997</v>
      </c>
      <c r="R58" s="302"/>
      <c r="S58" s="5"/>
      <c r="T58" s="79"/>
      <c r="U58" s="62">
        <f>R56*(C56/10^3)</f>
        <v>25.284000000000002</v>
      </c>
      <c r="V58" s="10"/>
      <c r="W58" s="1" t="s">
        <v>27</v>
      </c>
      <c r="X58" s="3">
        <v>0.8</v>
      </c>
      <c r="Z58" s="1" t="s">
        <v>28</v>
      </c>
      <c r="AA58" s="1">
        <v>9.81</v>
      </c>
      <c r="AC58" s="2" t="s">
        <v>20</v>
      </c>
    </row>
    <row r="59" spans="1:29" x14ac:dyDescent="0.3">
      <c r="A59" s="299"/>
      <c r="B59" s="302"/>
      <c r="C59" s="305"/>
      <c r="D59" s="18">
        <f>IFERROR(ROUNDUP((U59*$X$3*1000*$X$4*$X$2)/((C56/10^3)*$X$5*$AA$4),2),"")</f>
        <v>21.240000000000002</v>
      </c>
      <c r="E59" s="19">
        <v>21.5</v>
      </c>
      <c r="F59" s="21">
        <f>((($X$5*$AA$4*(C56*0.001)*E59)/1000)/O59)</f>
        <v>21.395050478077064</v>
      </c>
      <c r="G59" s="21">
        <f t="shared" si="25"/>
        <v>22.857959912475497</v>
      </c>
      <c r="H59" s="21">
        <f t="shared" si="26"/>
        <v>24.845608600516844</v>
      </c>
      <c r="I59" s="25" t="s">
        <v>30</v>
      </c>
      <c r="J59" s="25" t="s">
        <v>57</v>
      </c>
      <c r="K59" s="7">
        <v>30</v>
      </c>
      <c r="L59" s="7" t="s">
        <v>35</v>
      </c>
      <c r="M59" s="11">
        <f>INDEX('WEG Motor'!$B$3:$AZ$55,
       MATCH(K59,'WEG Motor'!$A$3:$A$55,0),
       MATCH(L59,'WEG Motor'!$B$2:$AZ$2,0))%</f>
        <v>0.93599999999999994</v>
      </c>
      <c r="N59" s="9">
        <v>0.92</v>
      </c>
      <c r="O59" s="6">
        <v>0.82789999999999997</v>
      </c>
      <c r="P59" s="8">
        <v>2.8820000000000001</v>
      </c>
      <c r="Q59" s="20">
        <f>ROUNDUP(H59/(C56/10^3),2)</f>
        <v>295.78999999999996</v>
      </c>
      <c r="R59" s="302"/>
      <c r="S59" s="5"/>
      <c r="T59" s="79"/>
      <c r="U59" s="62">
        <f>R56*(C56/10^3)</f>
        <v>25.284000000000002</v>
      </c>
      <c r="V59" s="10"/>
      <c r="W59" s="1" t="s">
        <v>22</v>
      </c>
      <c r="X59" s="1">
        <v>999.78</v>
      </c>
      <c r="Z59" s="1" t="s">
        <v>25</v>
      </c>
      <c r="AA59" s="1" t="s">
        <v>26</v>
      </c>
      <c r="AC59" s="2"/>
    </row>
    <row r="60" spans="1:29" x14ac:dyDescent="0.3">
      <c r="A60" s="299"/>
      <c r="B60" s="302"/>
      <c r="C60" s="305"/>
      <c r="D60" s="18">
        <f>IFERROR(ROUNDUP((U60*$X$3*1000*$X$4*$X$2)/((C56/10^3)*$X$5*$AA$4),2),"")</f>
        <v>21.240000000000002</v>
      </c>
      <c r="E60" s="19">
        <v>22</v>
      </c>
      <c r="F60" s="21">
        <f>((($X$5*$AA$4*(C56*0.001)*E60)/1000)/O60)</f>
        <v>21.79258343922087</v>
      </c>
      <c r="G60" s="21">
        <f t="shared" si="25"/>
        <v>23.282674614552214</v>
      </c>
      <c r="H60" s="21">
        <f t="shared" si="26"/>
        <v>25.307255015817624</v>
      </c>
      <c r="I60" s="12" t="s">
        <v>18</v>
      </c>
      <c r="J60" s="12" t="s">
        <v>104</v>
      </c>
      <c r="K60" s="7">
        <v>30</v>
      </c>
      <c r="L60" s="7" t="s">
        <v>35</v>
      </c>
      <c r="M60" s="11">
        <f>INDEX('WEG Motor'!$B$3:$AZ$55,
       MATCH(K60,'WEG Motor'!$A$3:$A$55,0),
       MATCH(L60,'WEG Motor'!$B$2:$AZ$2,0))%</f>
        <v>0.93599999999999994</v>
      </c>
      <c r="N60" s="9">
        <v>0.92</v>
      </c>
      <c r="O60" s="6">
        <v>0.83169999999999999</v>
      </c>
      <c r="P60" s="76">
        <v>3.81</v>
      </c>
      <c r="Q60" s="20">
        <f>ROUNDUP(H60/(C56/10^3),2)</f>
        <v>301.27999999999997</v>
      </c>
      <c r="R60" s="302"/>
      <c r="S60" s="5"/>
      <c r="T60" s="79"/>
      <c r="U60" s="62">
        <f>R56*(C56/10^3)</f>
        <v>25.284000000000002</v>
      </c>
      <c r="V60" s="10"/>
      <c r="Z60" s="1">
        <v>1</v>
      </c>
      <c r="AA60" s="1">
        <v>3.5169999999999999</v>
      </c>
      <c r="AC60" s="2" t="s">
        <v>21</v>
      </c>
    </row>
    <row r="61" spans="1:29" ht="15" thickBot="1" x14ac:dyDescent="0.35">
      <c r="A61" s="300"/>
      <c r="B61" s="303"/>
      <c r="C61" s="306"/>
      <c r="D61" s="63">
        <f>IFERROR(ROUNDUP((U61*$X$3*1000*$X$4*$X$2)/((C56/10^3)*$X$5*$AA$4),2),"")</f>
        <v>21.240000000000002</v>
      </c>
      <c r="E61" s="19">
        <v>22</v>
      </c>
      <c r="F61" s="65">
        <f>((($X$5*$AA$4*(C56*0.001)*E61)/1000)/O61)</f>
        <v>21.79258343922087</v>
      </c>
      <c r="G61" s="65">
        <f t="shared" si="25"/>
        <v>23.282674614552214</v>
      </c>
      <c r="H61" s="65">
        <f t="shared" si="26"/>
        <v>25.307255015817624</v>
      </c>
      <c r="I61" s="66" t="s">
        <v>32</v>
      </c>
      <c r="J61" s="66" t="s">
        <v>105</v>
      </c>
      <c r="K61" s="7">
        <v>30</v>
      </c>
      <c r="L61" s="7" t="s">
        <v>35</v>
      </c>
      <c r="M61" s="68">
        <f>INDEX('WEG Motor'!$B$3:$AZ$55,
       MATCH(K61,'WEG Motor'!$A$3:$A$55,0),
       MATCH(L61,'WEG Motor'!$B$2:$AZ$2,0))%</f>
        <v>0.93599999999999994</v>
      </c>
      <c r="N61" s="69">
        <v>0.92</v>
      </c>
      <c r="O61" s="6">
        <v>0.83169999999999999</v>
      </c>
      <c r="P61" s="76">
        <v>3.81</v>
      </c>
      <c r="Q61" s="72">
        <f>ROUNDUP(H61/(C56/10^3),2)</f>
        <v>301.27999999999997</v>
      </c>
      <c r="R61" s="303"/>
      <c r="S61" s="73"/>
      <c r="T61" s="80"/>
      <c r="U61" s="74">
        <f>R56*(C56/10^3)</f>
        <v>25.284000000000002</v>
      </c>
    </row>
    <row r="62" spans="1:29" x14ac:dyDescent="0.3">
      <c r="A62" s="298">
        <v>10</v>
      </c>
      <c r="B62" s="301">
        <v>750</v>
      </c>
      <c r="C62" s="304">
        <f t="shared" ref="C62" si="27" xml:space="preserve"> ROUND((B62 * $AA$6 * 1000) / ($X$5*$AA$2*$AA$3), 0)</f>
        <v>90</v>
      </c>
      <c r="D62" s="50">
        <f>IFERROR(ROUNDUP((U62*$X$3*1000*$X$4*$X$2)/((C62/10^3)*$X$5*$AA$4),2),"")</f>
        <v>21.240000000000002</v>
      </c>
      <c r="E62" s="51">
        <v>22</v>
      </c>
      <c r="F62" s="52">
        <f>((($X$5*$AA$4*(C62*0.001)*E62)/1000)/O62)</f>
        <v>23.025286654019439</v>
      </c>
      <c r="G62" s="52">
        <f>F62/M62</f>
        <v>24.599665228653247</v>
      </c>
      <c r="H62" s="52">
        <f>G62/N62</f>
        <v>26.738766552883963</v>
      </c>
      <c r="I62" s="53" t="s">
        <v>14</v>
      </c>
      <c r="J62" s="53" t="s">
        <v>61</v>
      </c>
      <c r="K62" s="54">
        <v>30</v>
      </c>
      <c r="L62" s="54" t="s">
        <v>35</v>
      </c>
      <c r="M62" s="55">
        <f>INDEX('WEG Motor'!$B$3:$AZ$55,
       MATCH(K62,'WEG Motor'!$A$3:$A$55,0),
       MATCH(L62,'WEG Motor'!$B$2:$AZ$2,0))%</f>
        <v>0.93599999999999994</v>
      </c>
      <c r="N62" s="56">
        <v>0.92</v>
      </c>
      <c r="O62" s="57">
        <v>0.84340000000000004</v>
      </c>
      <c r="P62" s="58">
        <v>3.0070000000000001</v>
      </c>
      <c r="Q62" s="59">
        <f>ROUNDUP(H62/(C62/10^3),2)</f>
        <v>297.09999999999997</v>
      </c>
      <c r="R62" s="301">
        <v>301</v>
      </c>
      <c r="S62" s="60"/>
      <c r="T62" s="78"/>
      <c r="U62" s="61">
        <f>R62*(C62/10^3)</f>
        <v>27.09</v>
      </c>
      <c r="W62" s="1" t="s">
        <v>17</v>
      </c>
      <c r="X62" s="3">
        <v>0.92</v>
      </c>
      <c r="Z62" s="1" t="s">
        <v>23</v>
      </c>
      <c r="AA62" s="1">
        <v>7</v>
      </c>
      <c r="AC62" s="4" t="s">
        <v>38</v>
      </c>
    </row>
    <row r="63" spans="1:29" x14ac:dyDescent="0.3">
      <c r="A63" s="299"/>
      <c r="B63" s="302"/>
      <c r="C63" s="305"/>
      <c r="D63" s="18">
        <f>IFERROR(ROUNDUP((U63*$X$3*1000*$X$4*$X$2)/((C62/10^3)*$X$5*$AA$4),2),"")</f>
        <v>21.240000000000002</v>
      </c>
      <c r="E63" s="19">
        <v>22.5</v>
      </c>
      <c r="F63" s="21">
        <f>((($X$5*$AA$4*(C62*0.001)*E63)/1000)/O63)</f>
        <v>23.183004137971281</v>
      </c>
      <c r="G63" s="21">
        <f t="shared" ref="G63:G67" si="28">F63/M63</f>
        <v>24.768166814071883</v>
      </c>
      <c r="H63" s="21">
        <f t="shared" ref="H63:H67" si="29">G63/N63</f>
        <v>26.921920450078133</v>
      </c>
      <c r="I63" s="23" t="s">
        <v>15</v>
      </c>
      <c r="J63" s="23" t="s">
        <v>56</v>
      </c>
      <c r="K63" s="7">
        <v>30</v>
      </c>
      <c r="L63" s="7" t="s">
        <v>35</v>
      </c>
      <c r="M63" s="11">
        <f>INDEX('WEG Motor'!$B$3:$AZ$55,
       MATCH(K63,'WEG Motor'!$A$3:$A$55,0),
       MATCH(L63,'WEG Motor'!$B$2:$AZ$2,0))%</f>
        <v>0.93599999999999994</v>
      </c>
      <c r="N63" s="9">
        <v>0.92</v>
      </c>
      <c r="O63" s="6">
        <v>0.85670000000000002</v>
      </c>
      <c r="P63" s="76">
        <v>3.17</v>
      </c>
      <c r="Q63" s="20">
        <f>ROUNDUP(H63/(C62/10^3),2)</f>
        <v>299.14</v>
      </c>
      <c r="R63" s="302"/>
      <c r="S63" s="5"/>
      <c r="T63" s="79"/>
      <c r="U63" s="62">
        <f>R62*(C62/10^3)</f>
        <v>27.09</v>
      </c>
      <c r="W63" s="1" t="s">
        <v>19</v>
      </c>
      <c r="X63" s="3">
        <v>0.94</v>
      </c>
      <c r="Z63" s="1" t="s">
        <v>24</v>
      </c>
      <c r="AA63" s="1">
        <v>4.1859999999999999</v>
      </c>
    </row>
    <row r="64" spans="1:29" x14ac:dyDescent="0.3">
      <c r="A64" s="299"/>
      <c r="B64" s="302"/>
      <c r="C64" s="305"/>
      <c r="D64" s="18">
        <f>IFERROR(ROUNDUP((U64*$X$3*1000*$X$4*$X$2)/((C62/10^3)*$X$5*$AA$4),2),"")</f>
        <v>21.240000000000002</v>
      </c>
      <c r="E64" s="19">
        <v>22.5</v>
      </c>
      <c r="F64" s="21">
        <f>((($X$5*$AA$4*(C62*0.001)*E64)/1000)/O64)</f>
        <v>23.16948162039197</v>
      </c>
      <c r="G64" s="21">
        <f t="shared" si="28"/>
        <v>24.753719679905952</v>
      </c>
      <c r="H64" s="21">
        <f t="shared" si="29"/>
        <v>26.906217043376035</v>
      </c>
      <c r="I64" s="24" t="s">
        <v>16</v>
      </c>
      <c r="J64" s="24" t="s">
        <v>66</v>
      </c>
      <c r="K64" s="7">
        <v>30</v>
      </c>
      <c r="L64" s="7" t="s">
        <v>35</v>
      </c>
      <c r="M64" s="11">
        <f>INDEX('WEG Motor'!$B$3:$AZ$55,
       MATCH(K64,'WEG Motor'!$A$3:$A$55,0),
       MATCH(L64,'WEG Motor'!$B$2:$AZ$2,0))%</f>
        <v>0.93599999999999994</v>
      </c>
      <c r="N64" s="9">
        <v>0.92</v>
      </c>
      <c r="O64" s="6">
        <v>0.85719999999999996</v>
      </c>
      <c r="P64" s="76">
        <v>3.17</v>
      </c>
      <c r="Q64" s="20">
        <f>ROUNDUP(H64/(C62/10^3),2)</f>
        <v>298.95999999999998</v>
      </c>
      <c r="R64" s="302"/>
      <c r="S64" s="5"/>
      <c r="T64" s="79"/>
      <c r="U64" s="62">
        <f>R62*(C62/10^3)</f>
        <v>27.09</v>
      </c>
      <c r="V64" s="10"/>
      <c r="W64" s="1" t="s">
        <v>27</v>
      </c>
      <c r="X64" s="3">
        <v>0.8</v>
      </c>
      <c r="Z64" s="1" t="s">
        <v>28</v>
      </c>
      <c r="AA64" s="1">
        <v>9.81</v>
      </c>
      <c r="AC64" s="2" t="s">
        <v>20</v>
      </c>
    </row>
    <row r="65" spans="1:29" x14ac:dyDescent="0.3">
      <c r="A65" s="299"/>
      <c r="B65" s="302"/>
      <c r="C65" s="305"/>
      <c r="D65" s="18">
        <f>IFERROR(ROUNDUP((U65*$X$3*1000*$X$4*$X$2)/((C62/10^3)*$X$5*$AA$4),2),"")</f>
        <v>21.240000000000002</v>
      </c>
      <c r="E65" s="19">
        <v>22</v>
      </c>
      <c r="F65" s="21">
        <f>((($X$5*$AA$4*(C62*0.001)*E65)/1000)/O65)</f>
        <v>23.212439354530236</v>
      </c>
      <c r="G65" s="21">
        <f t="shared" si="28"/>
        <v>24.799614695010938</v>
      </c>
      <c r="H65" s="21">
        <f t="shared" si="29"/>
        <v>26.956102929359712</v>
      </c>
      <c r="I65" s="25" t="s">
        <v>30</v>
      </c>
      <c r="J65" s="25" t="s">
        <v>57</v>
      </c>
      <c r="K65" s="7">
        <v>30</v>
      </c>
      <c r="L65" s="7" t="s">
        <v>35</v>
      </c>
      <c r="M65" s="11">
        <f>INDEX('WEG Motor'!$B$3:$AZ$55,
       MATCH(K65,'WEG Motor'!$A$3:$A$55,0),
       MATCH(L65,'WEG Motor'!$B$2:$AZ$2,0))%</f>
        <v>0.93599999999999994</v>
      </c>
      <c r="N65" s="9">
        <v>0.92</v>
      </c>
      <c r="O65" s="6">
        <v>0.83660000000000001</v>
      </c>
      <c r="P65" s="76">
        <v>3.08</v>
      </c>
      <c r="Q65" s="20">
        <f>ROUNDUP(H65/(C62/10^3),2)</f>
        <v>299.52</v>
      </c>
      <c r="R65" s="302"/>
      <c r="S65" s="5"/>
      <c r="T65" s="79"/>
      <c r="U65" s="62">
        <f>R62*(C62/10^3)</f>
        <v>27.09</v>
      </c>
      <c r="V65" s="10"/>
      <c r="W65" s="1" t="s">
        <v>22</v>
      </c>
      <c r="X65" s="1">
        <v>999.78</v>
      </c>
      <c r="Z65" s="1" t="s">
        <v>25</v>
      </c>
      <c r="AA65" s="1" t="s">
        <v>26</v>
      </c>
      <c r="AC65" s="2"/>
    </row>
    <row r="66" spans="1:29" x14ac:dyDescent="0.3">
      <c r="A66" s="299"/>
      <c r="B66" s="302"/>
      <c r="C66" s="305"/>
      <c r="D66" s="18">
        <f>IFERROR(ROUNDUP((U66*$X$3*1000*$X$4*$X$2)/((C62/10^3)*$X$5*$AA$4),2),"")</f>
        <v>21.240000000000002</v>
      </c>
      <c r="E66" s="19">
        <v>22</v>
      </c>
      <c r="F66" s="21">
        <f>((($X$5*$AA$4*(C62*0.001)*E66)/1000)/O66)</f>
        <v>23.05535648106375</v>
      </c>
      <c r="G66" s="21">
        <f t="shared" si="28"/>
        <v>24.631791112247598</v>
      </c>
      <c r="H66" s="21">
        <f t="shared" si="29"/>
        <v>26.773685991573476</v>
      </c>
      <c r="I66" s="12" t="s">
        <v>18</v>
      </c>
      <c r="J66" s="12" t="s">
        <v>104</v>
      </c>
      <c r="K66" s="7">
        <v>30</v>
      </c>
      <c r="L66" s="7" t="s">
        <v>35</v>
      </c>
      <c r="M66" s="11">
        <f>INDEX('WEG Motor'!$B$3:$AZ$55,
       MATCH(K66,'WEG Motor'!$A$3:$A$55,0),
       MATCH(L66,'WEG Motor'!$B$2:$AZ$2,0))%</f>
        <v>0.93599999999999994</v>
      </c>
      <c r="N66" s="9">
        <v>0.92</v>
      </c>
      <c r="O66" s="6">
        <v>0.84230000000000005</v>
      </c>
      <c r="P66" s="76">
        <v>3.87</v>
      </c>
      <c r="Q66" s="20">
        <f>ROUNDUP(H66/(C62/10^3),2)</f>
        <v>297.49</v>
      </c>
      <c r="R66" s="302"/>
      <c r="S66" s="5"/>
      <c r="T66" s="79"/>
      <c r="U66" s="62">
        <f>R62*(C62/10^3)</f>
        <v>27.09</v>
      </c>
      <c r="V66" s="10"/>
      <c r="Z66" s="1">
        <v>1</v>
      </c>
      <c r="AA66" s="1">
        <v>3.5169999999999999</v>
      </c>
      <c r="AC66" s="2" t="s">
        <v>21</v>
      </c>
    </row>
    <row r="67" spans="1:29" ht="15" thickBot="1" x14ac:dyDescent="0.35">
      <c r="A67" s="300"/>
      <c r="B67" s="303"/>
      <c r="C67" s="306"/>
      <c r="D67" s="63">
        <f>IFERROR(ROUNDUP((U67*$X$3*1000*$X$4*$X$2)/((C62/10^3)*$X$5*$AA$4),2),"")</f>
        <v>21.240000000000002</v>
      </c>
      <c r="E67" s="19">
        <v>22</v>
      </c>
      <c r="F67" s="65">
        <f>((($X$5*$AA$4*(C62*0.001)*E67)/1000)/O67)</f>
        <v>23.05535648106375</v>
      </c>
      <c r="G67" s="65">
        <f t="shared" si="28"/>
        <v>24.631791112247598</v>
      </c>
      <c r="H67" s="65">
        <f t="shared" si="29"/>
        <v>26.773685991573476</v>
      </c>
      <c r="I67" s="66" t="s">
        <v>32</v>
      </c>
      <c r="J67" s="66" t="s">
        <v>105</v>
      </c>
      <c r="K67" s="7">
        <v>30</v>
      </c>
      <c r="L67" s="7" t="s">
        <v>35</v>
      </c>
      <c r="M67" s="68">
        <f>INDEX('WEG Motor'!$B$3:$AZ$55,
       MATCH(K67,'WEG Motor'!$A$3:$A$55,0),
       MATCH(L67,'WEG Motor'!$B$2:$AZ$2,0))%</f>
        <v>0.93599999999999994</v>
      </c>
      <c r="N67" s="69">
        <v>0.92</v>
      </c>
      <c r="O67" s="6">
        <v>0.84230000000000005</v>
      </c>
      <c r="P67" s="76">
        <v>3.87</v>
      </c>
      <c r="Q67" s="72">
        <f>ROUNDUP(H67/(C62/10^3),2)</f>
        <v>297.49</v>
      </c>
      <c r="R67" s="303"/>
      <c r="S67" s="73"/>
      <c r="T67" s="80"/>
      <c r="U67" s="74">
        <f>R62*(C62/10^3)</f>
        <v>27.09</v>
      </c>
    </row>
    <row r="68" spans="1:29" x14ac:dyDescent="0.3">
      <c r="A68" s="298">
        <v>11</v>
      </c>
      <c r="B68" s="301">
        <v>800</v>
      </c>
      <c r="C68" s="304">
        <f t="shared" ref="C68" si="30" xml:space="preserve"> ROUND((B68 * $AA$6 * 1000) / ($X$5*$AA$2*$AA$3), 0)</f>
        <v>96</v>
      </c>
      <c r="D68" s="50">
        <f>IFERROR(ROUNDUP((U68*$X$3*1000*$X$4*$X$2)/((C68/10^3)*$X$5*$AA$4),2),"")</f>
        <v>21.240000000000002</v>
      </c>
      <c r="E68" s="51">
        <v>22</v>
      </c>
      <c r="F68" s="52">
        <f>((($X$5*$AA$4*(C68*0.001)*E68)/1000)/O68)</f>
        <v>24.508000333175584</v>
      </c>
      <c r="G68" s="52">
        <f>F68/M68</f>
        <v>26.183761039717506</v>
      </c>
      <c r="H68" s="52">
        <f>G68/N68</f>
        <v>28.460609825779898</v>
      </c>
      <c r="I68" s="53" t="s">
        <v>14</v>
      </c>
      <c r="J68" s="53" t="s">
        <v>61</v>
      </c>
      <c r="K68" s="54">
        <v>30</v>
      </c>
      <c r="L68" s="54" t="s">
        <v>35</v>
      </c>
      <c r="M68" s="55">
        <f>INDEX('WEG Motor'!$B$3:$AZ$55,
       MATCH(K68,'WEG Motor'!$A$3:$A$55,0),
       MATCH(L68,'WEG Motor'!$B$2:$AZ$2,0))%</f>
        <v>0.93599999999999994</v>
      </c>
      <c r="N68" s="56">
        <v>0.92</v>
      </c>
      <c r="O68" s="57">
        <v>0.84519999999999995</v>
      </c>
      <c r="P68" s="58">
        <v>3.258</v>
      </c>
      <c r="Q68" s="59">
        <f>ROUNDUP(H68/(C68/10^3),2)</f>
        <v>296.46999999999997</v>
      </c>
      <c r="R68" s="301">
        <v>301</v>
      </c>
      <c r="S68" s="60"/>
      <c r="T68" s="78"/>
      <c r="U68" s="61">
        <f>R68*(C68/10^3)</f>
        <v>28.896000000000001</v>
      </c>
      <c r="W68" s="1" t="s">
        <v>17</v>
      </c>
      <c r="X68" s="3">
        <v>0.92</v>
      </c>
      <c r="Z68" s="1" t="s">
        <v>23</v>
      </c>
      <c r="AA68" s="1">
        <v>7</v>
      </c>
      <c r="AC68" s="4" t="s">
        <v>38</v>
      </c>
    </row>
    <row r="69" spans="1:29" x14ac:dyDescent="0.3">
      <c r="A69" s="299"/>
      <c r="B69" s="302"/>
      <c r="C69" s="305"/>
      <c r="D69" s="18">
        <f>IFERROR(ROUNDUP((U69*$X$3*1000*$X$4*$X$2)/((C68/10^3)*$X$5*$AA$4),2),"")</f>
        <v>21.240000000000002</v>
      </c>
      <c r="E69" s="19">
        <v>22.5</v>
      </c>
      <c r="F69" s="21">
        <f>((($X$5*$AA$4*(C68*0.001)*E69)/1000)/O69)</f>
        <v>24.545172387904071</v>
      </c>
      <c r="G69" s="21">
        <f t="shared" ref="G69:G73" si="31">F69/M69</f>
        <v>26.223474773401787</v>
      </c>
      <c r="H69" s="21">
        <f t="shared" ref="H69:H73" si="32">G69/N69</f>
        <v>28.503776927610637</v>
      </c>
      <c r="I69" s="23" t="s">
        <v>15</v>
      </c>
      <c r="J69" s="23" t="s">
        <v>56</v>
      </c>
      <c r="K69" s="7">
        <v>30</v>
      </c>
      <c r="L69" s="7" t="s">
        <v>35</v>
      </c>
      <c r="M69" s="11">
        <f>INDEX('WEG Motor'!$B$3:$AZ$55,
       MATCH(K69,'WEG Motor'!$A$3:$A$55,0),
       MATCH(L69,'WEG Motor'!$B$2:$AZ$2,0))%</f>
        <v>0.93599999999999994</v>
      </c>
      <c r="N69" s="9">
        <v>0.92</v>
      </c>
      <c r="O69" s="6">
        <v>0.86309999999999998</v>
      </c>
      <c r="P69" s="8">
        <v>3.2429999999999999</v>
      </c>
      <c r="Q69" s="20">
        <f>ROUNDUP(H69/(C68/10^3),2)</f>
        <v>296.92</v>
      </c>
      <c r="R69" s="302"/>
      <c r="S69" s="5"/>
      <c r="T69" s="79"/>
      <c r="U69" s="62">
        <f>R68*(C68/10^3)</f>
        <v>28.896000000000001</v>
      </c>
      <c r="W69" s="1" t="s">
        <v>19</v>
      </c>
      <c r="X69" s="3">
        <v>0.94</v>
      </c>
      <c r="Z69" s="1" t="s">
        <v>24</v>
      </c>
      <c r="AA69" s="1">
        <v>4.1859999999999999</v>
      </c>
    </row>
    <row r="70" spans="1:29" x14ac:dyDescent="0.3">
      <c r="A70" s="299"/>
      <c r="B70" s="302"/>
      <c r="C70" s="305"/>
      <c r="D70" s="18">
        <f>IFERROR(ROUNDUP((U70*$X$3*1000*$X$4*$X$2)/((C68/10^3)*$X$5*$AA$4),2),"")</f>
        <v>21.240000000000002</v>
      </c>
      <c r="E70" s="19">
        <v>22.5</v>
      </c>
      <c r="F70" s="21">
        <f>((($X$5*$AA$4*(C68*0.001)*E70)/1000)/O70)</f>
        <v>24.545172387904071</v>
      </c>
      <c r="G70" s="21">
        <f t="shared" si="31"/>
        <v>26.223474773401787</v>
      </c>
      <c r="H70" s="21">
        <f t="shared" si="32"/>
        <v>28.503776927610637</v>
      </c>
      <c r="I70" s="24" t="s">
        <v>16</v>
      </c>
      <c r="J70" s="24" t="s">
        <v>66</v>
      </c>
      <c r="K70" s="7">
        <v>30</v>
      </c>
      <c r="L70" s="7" t="s">
        <v>35</v>
      </c>
      <c r="M70" s="11">
        <f>INDEX('WEG Motor'!$B$3:$AZ$55,
       MATCH(K70,'WEG Motor'!$A$3:$A$55,0),
       MATCH(L70,'WEG Motor'!$B$2:$AZ$2,0))%</f>
        <v>0.93599999999999994</v>
      </c>
      <c r="N70" s="9">
        <v>0.92</v>
      </c>
      <c r="O70" s="6">
        <v>0.86309999999999998</v>
      </c>
      <c r="P70" s="8">
        <v>3.2429999999999999</v>
      </c>
      <c r="Q70" s="20">
        <f>ROUNDUP(H70/(C68/10^3),2)</f>
        <v>296.92</v>
      </c>
      <c r="R70" s="302"/>
      <c r="S70" s="5"/>
      <c r="T70" s="79"/>
      <c r="U70" s="62">
        <f>R68*(C68/10^3)</f>
        <v>28.896000000000001</v>
      </c>
      <c r="V70" s="10"/>
      <c r="W70" s="1" t="s">
        <v>27</v>
      </c>
      <c r="X70" s="3">
        <v>0.8</v>
      </c>
      <c r="Z70" s="1" t="s">
        <v>28</v>
      </c>
      <c r="AA70" s="1">
        <v>9.81</v>
      </c>
      <c r="AC70" s="2" t="s">
        <v>20</v>
      </c>
    </row>
    <row r="71" spans="1:29" x14ac:dyDescent="0.3">
      <c r="A71" s="299"/>
      <c r="B71" s="302"/>
      <c r="C71" s="305"/>
      <c r="D71" s="18">
        <f>IFERROR(ROUNDUP((U71*$X$3*1000*$X$4*$X$2)/((C68/10^3)*$X$5*$AA$4),2),"")</f>
        <v>21.240000000000002</v>
      </c>
      <c r="E71" s="19">
        <v>22</v>
      </c>
      <c r="F71" s="21">
        <f>((($X$5*$AA$4*(C68*0.001)*E71)/1000)/O71)</f>
        <v>24.621611650540832</v>
      </c>
      <c r="G71" s="21">
        <f t="shared" si="31"/>
        <v>26.305140652287214</v>
      </c>
      <c r="H71" s="21">
        <f t="shared" si="32"/>
        <v>28.592544187268711</v>
      </c>
      <c r="I71" s="25" t="s">
        <v>30</v>
      </c>
      <c r="J71" s="25" t="s">
        <v>57</v>
      </c>
      <c r="K71" s="7">
        <v>30</v>
      </c>
      <c r="L71" s="7" t="s">
        <v>35</v>
      </c>
      <c r="M71" s="11">
        <f>INDEX('WEG Motor'!$B$3:$AZ$55,
       MATCH(K71,'WEG Motor'!$A$3:$A$55,0),
       MATCH(L71,'WEG Motor'!$B$2:$AZ$2,0))%</f>
        <v>0.93599999999999994</v>
      </c>
      <c r="N71" s="9">
        <v>0.92</v>
      </c>
      <c r="O71" s="6">
        <v>0.84130000000000005</v>
      </c>
      <c r="P71" s="8">
        <v>3.3010000000000002</v>
      </c>
      <c r="Q71" s="20">
        <f>ROUNDUP(H71/(C68/10^3),2)</f>
        <v>297.83999999999997</v>
      </c>
      <c r="R71" s="302"/>
      <c r="S71" s="5"/>
      <c r="T71" s="79"/>
      <c r="U71" s="62">
        <f>R68*(C68/10^3)</f>
        <v>28.896000000000001</v>
      </c>
      <c r="V71" s="10"/>
      <c r="W71" s="1" t="s">
        <v>22</v>
      </c>
      <c r="X71" s="1">
        <v>999.78</v>
      </c>
      <c r="Z71" s="1" t="s">
        <v>25</v>
      </c>
      <c r="AA71" s="1" t="s">
        <v>26</v>
      </c>
      <c r="AC71" s="2"/>
    </row>
    <row r="72" spans="1:29" x14ac:dyDescent="0.3">
      <c r="A72" s="299"/>
      <c r="B72" s="302"/>
      <c r="C72" s="305"/>
      <c r="D72" s="18">
        <f>IFERROR(ROUNDUP((U72*$X$3*1000*$X$4*$X$2)/((C68/10^3)*$X$5*$AA$4),2),"")</f>
        <v>21.240000000000002</v>
      </c>
      <c r="E72" s="19">
        <v>22</v>
      </c>
      <c r="F72" s="21">
        <f>((($X$5*$AA$4*(C68*0.001)*E72)/1000)/O72)</f>
        <v>24.432840152866245</v>
      </c>
      <c r="G72" s="21">
        <f t="shared" si="31"/>
        <v>26.103461701780176</v>
      </c>
      <c r="H72" s="21">
        <f t="shared" si="32"/>
        <v>28.373327936717583</v>
      </c>
      <c r="I72" s="12" t="s">
        <v>18</v>
      </c>
      <c r="J72" s="12" t="s">
        <v>104</v>
      </c>
      <c r="K72" s="7">
        <v>30</v>
      </c>
      <c r="L72" s="7" t="s">
        <v>35</v>
      </c>
      <c r="M72" s="11">
        <f>INDEX('WEG Motor'!$B$3:$AZ$55,
       MATCH(K72,'WEG Motor'!$A$3:$A$55,0),
       MATCH(L72,'WEG Motor'!$B$2:$AZ$2,0))%</f>
        <v>0.93599999999999994</v>
      </c>
      <c r="N72" s="9">
        <v>0.92</v>
      </c>
      <c r="O72" s="6">
        <v>0.8478</v>
      </c>
      <c r="P72" s="76">
        <v>3.94</v>
      </c>
      <c r="Q72" s="20">
        <f>ROUNDUP(H72/(C68/10^3),2)</f>
        <v>295.56</v>
      </c>
      <c r="R72" s="302"/>
      <c r="S72" s="5"/>
      <c r="T72" s="79"/>
      <c r="U72" s="62">
        <f>R68*(C68/10^3)</f>
        <v>28.896000000000001</v>
      </c>
      <c r="V72" s="10"/>
      <c r="Z72" s="1">
        <v>1</v>
      </c>
      <c r="AA72" s="1">
        <v>3.5169999999999999</v>
      </c>
      <c r="AC72" s="2" t="s">
        <v>21</v>
      </c>
    </row>
    <row r="73" spans="1:29" ht="15" thickBot="1" x14ac:dyDescent="0.35">
      <c r="A73" s="300"/>
      <c r="B73" s="303"/>
      <c r="C73" s="306"/>
      <c r="D73" s="63">
        <f>IFERROR(ROUNDUP((U73*$X$3*1000*$X$4*$X$2)/((C68/10^3)*$X$5*$AA$4),2),"")</f>
        <v>21.240000000000002</v>
      </c>
      <c r="E73" s="19">
        <v>22</v>
      </c>
      <c r="F73" s="65">
        <f>((($X$5*$AA$4*(C68*0.001)*E73)/1000)/O73)</f>
        <v>24.432840152866245</v>
      </c>
      <c r="G73" s="65">
        <f t="shared" si="31"/>
        <v>26.103461701780176</v>
      </c>
      <c r="H73" s="65">
        <f t="shared" si="32"/>
        <v>28.373327936717583</v>
      </c>
      <c r="I73" s="66" t="s">
        <v>32</v>
      </c>
      <c r="J73" s="66" t="s">
        <v>105</v>
      </c>
      <c r="K73" s="67">
        <v>30</v>
      </c>
      <c r="L73" s="67" t="s">
        <v>35</v>
      </c>
      <c r="M73" s="68">
        <f>INDEX('WEG Motor'!$B$3:$AZ$55,
       MATCH(K73,'WEG Motor'!$A$3:$A$55,0),
       MATCH(L73,'WEG Motor'!$B$2:$AZ$2,0))%</f>
        <v>0.93599999999999994</v>
      </c>
      <c r="N73" s="69">
        <v>0.92</v>
      </c>
      <c r="O73" s="70">
        <v>0.8478</v>
      </c>
      <c r="P73" s="117">
        <v>3.94</v>
      </c>
      <c r="Q73" s="72">
        <f>ROUNDUP(H73/(C68/10^3),2)</f>
        <v>295.56</v>
      </c>
      <c r="R73" s="303"/>
      <c r="S73" s="73"/>
      <c r="T73" s="80"/>
      <c r="U73" s="74">
        <f>R68*(C68/10^3)</f>
        <v>28.896000000000001</v>
      </c>
    </row>
    <row r="74" spans="1:29" x14ac:dyDescent="0.3">
      <c r="A74" s="298">
        <v>12</v>
      </c>
      <c r="B74" s="301">
        <v>850</v>
      </c>
      <c r="C74" s="304">
        <f t="shared" ref="C74" si="33" xml:space="preserve"> ROUND((B74 * $AA$6 * 1000) / ($X$5*$AA$2*$AA$3), 0)</f>
        <v>102</v>
      </c>
      <c r="D74" s="50">
        <f>IFERROR(ROUNDUP((U74*$X$3*1000*$X$4*$X$2)/((C74/10^3)*$X$5*$AA$4),2),"")</f>
        <v>21.240000000000002</v>
      </c>
      <c r="E74" s="51">
        <v>22</v>
      </c>
      <c r="F74" s="52">
        <f>((($X$5*$AA$4*(C74*0.001)*E74)/1000)/O74)</f>
        <v>26.052079781250004</v>
      </c>
      <c r="G74" s="52">
        <f>F74/M74</f>
        <v>27.833418569711544</v>
      </c>
      <c r="H74" s="52">
        <f>G74/N74</f>
        <v>30.253715836642982</v>
      </c>
      <c r="I74" s="53" t="s">
        <v>14</v>
      </c>
      <c r="J74" s="53" t="s">
        <v>61</v>
      </c>
      <c r="K74" s="54">
        <v>30</v>
      </c>
      <c r="L74" s="54" t="s">
        <v>35</v>
      </c>
      <c r="M74" s="55">
        <f>INDEX('WEG Motor'!$B$3:$AZ$55,
       MATCH(K74,'WEG Motor'!$A$3:$A$55,0),
       MATCH(L74,'WEG Motor'!$B$2:$AZ$2,0))%</f>
        <v>0.93599999999999994</v>
      </c>
      <c r="N74" s="56">
        <v>0.92</v>
      </c>
      <c r="O74" s="57">
        <v>0.8448</v>
      </c>
      <c r="P74" s="58">
        <v>3.528</v>
      </c>
      <c r="Q74" s="59">
        <f>ROUNDUP(H74/(C74/10^3),2)</f>
        <v>296.61</v>
      </c>
      <c r="R74" s="301">
        <v>301</v>
      </c>
      <c r="S74" s="60"/>
      <c r="T74" s="78"/>
      <c r="U74" s="61">
        <f>R74*(C74/10^3)</f>
        <v>30.701999999999998</v>
      </c>
      <c r="W74" s="1" t="s">
        <v>17</v>
      </c>
      <c r="X74" s="3">
        <v>0.92</v>
      </c>
      <c r="Z74" s="1" t="s">
        <v>23</v>
      </c>
      <c r="AA74" s="1">
        <v>7</v>
      </c>
      <c r="AC74" s="4" t="s">
        <v>38</v>
      </c>
    </row>
    <row r="75" spans="1:29" x14ac:dyDescent="0.3">
      <c r="A75" s="299"/>
      <c r="B75" s="302"/>
      <c r="C75" s="305"/>
      <c r="D75" s="18">
        <f>IFERROR(ROUNDUP((U75*$X$3*1000*$X$4*$X$2)/((C74/10^3)*$X$5*$AA$4),2),"")</f>
        <v>21.240000000000002</v>
      </c>
      <c r="E75" s="19">
        <v>22.5</v>
      </c>
      <c r="F75" s="21">
        <f>((($X$5*$AA$4*(C74*0.001)*E75)/1000)/O75)</f>
        <v>25.973917529425343</v>
      </c>
      <c r="G75" s="21">
        <f t="shared" ref="G75:G79" si="34">F75/M75</f>
        <v>27.749911890411692</v>
      </c>
      <c r="H75" s="21">
        <f t="shared" ref="H75:H79" si="35">G75/N75</f>
        <v>30.162947706969231</v>
      </c>
      <c r="I75" s="23" t="s">
        <v>15</v>
      </c>
      <c r="J75" s="23" t="s">
        <v>56</v>
      </c>
      <c r="K75" s="7">
        <v>30</v>
      </c>
      <c r="L75" s="7" t="s">
        <v>35</v>
      </c>
      <c r="M75" s="11">
        <f>INDEX('WEG Motor'!$B$3:$AZ$55,
       MATCH(K75,'WEG Motor'!$A$3:$A$55,0),
       MATCH(L75,'WEG Motor'!$B$2:$AZ$2,0))%</f>
        <v>0.93599999999999994</v>
      </c>
      <c r="N75" s="9">
        <v>0.92</v>
      </c>
      <c r="O75" s="6">
        <v>0.86660000000000004</v>
      </c>
      <c r="P75" s="8">
        <v>3.343</v>
      </c>
      <c r="Q75" s="20">
        <f>ROUNDUP(H75/(C74/10^3),2)</f>
        <v>295.71999999999997</v>
      </c>
      <c r="R75" s="302"/>
      <c r="S75" s="5"/>
      <c r="T75" s="79"/>
      <c r="U75" s="62">
        <f>R74*(C74/10^3)</f>
        <v>30.701999999999998</v>
      </c>
      <c r="W75" s="1" t="s">
        <v>19</v>
      </c>
      <c r="X75" s="3">
        <v>0.94</v>
      </c>
      <c r="Z75" s="1" t="s">
        <v>24</v>
      </c>
      <c r="AA75" s="1">
        <v>4.1859999999999999</v>
      </c>
    </row>
    <row r="76" spans="1:29" x14ac:dyDescent="0.3">
      <c r="A76" s="299"/>
      <c r="B76" s="302"/>
      <c r="C76" s="305"/>
      <c r="D76" s="18">
        <f>IFERROR(ROUNDUP((U76*$X$3*1000*$X$4*$X$2)/((C74/10^3)*$X$5*$AA$4),2),"")</f>
        <v>21.240000000000002</v>
      </c>
      <c r="E76" s="19">
        <v>22.5</v>
      </c>
      <c r="F76" s="21">
        <f>((($X$5*$AA$4*(C74*0.001)*E76)/1000)/O76)</f>
        <v>25.973917529425343</v>
      </c>
      <c r="G76" s="21">
        <f t="shared" si="34"/>
        <v>27.749911890411692</v>
      </c>
      <c r="H76" s="21">
        <f t="shared" si="35"/>
        <v>30.162947706969231</v>
      </c>
      <c r="I76" s="24" t="s">
        <v>16</v>
      </c>
      <c r="J76" s="24" t="s">
        <v>66</v>
      </c>
      <c r="K76" s="7">
        <v>30</v>
      </c>
      <c r="L76" s="7" t="s">
        <v>35</v>
      </c>
      <c r="M76" s="11">
        <f>INDEX('WEG Motor'!$B$3:$AZ$55,
       MATCH(K76,'WEG Motor'!$A$3:$A$55,0),
       MATCH(L76,'WEG Motor'!$B$2:$AZ$2,0))%</f>
        <v>0.93599999999999994</v>
      </c>
      <c r="N76" s="9">
        <v>0.92</v>
      </c>
      <c r="O76" s="6">
        <v>0.86660000000000004</v>
      </c>
      <c r="P76" s="8">
        <v>3.343</v>
      </c>
      <c r="Q76" s="20">
        <f>ROUNDUP(H76/(C74/10^3),2)</f>
        <v>295.71999999999997</v>
      </c>
      <c r="R76" s="302"/>
      <c r="S76" s="5"/>
      <c r="T76" s="79"/>
      <c r="U76" s="62">
        <f>R74*(C74/10^3)</f>
        <v>30.701999999999998</v>
      </c>
      <c r="V76" s="10"/>
      <c r="W76" s="1" t="s">
        <v>27</v>
      </c>
      <c r="X76" s="3">
        <v>0.8</v>
      </c>
      <c r="Z76" s="1" t="s">
        <v>28</v>
      </c>
      <c r="AA76" s="1">
        <v>9.81</v>
      </c>
      <c r="AC76" s="2" t="s">
        <v>20</v>
      </c>
    </row>
    <row r="77" spans="1:29" x14ac:dyDescent="0.3">
      <c r="A77" s="299"/>
      <c r="B77" s="302"/>
      <c r="C77" s="305"/>
      <c r="D77" s="18">
        <f>IFERROR(ROUNDUP((U77*$X$3*1000*$X$4*$X$2)/((C74/10^3)*$X$5*$AA$4),2),"")</f>
        <v>21.240000000000002</v>
      </c>
      <c r="E77" s="19">
        <v>22</v>
      </c>
      <c r="F77" s="21">
        <f>((($X$5*$AA$4*(C74*0.001)*E77)/1000)/O77)</f>
        <v>26.104610365555693</v>
      </c>
      <c r="G77" s="21">
        <f t="shared" si="34"/>
        <v>27.889540988841553</v>
      </c>
      <c r="H77" s="21">
        <f t="shared" si="35"/>
        <v>30.314718466132121</v>
      </c>
      <c r="I77" s="25" t="s">
        <v>30</v>
      </c>
      <c r="J77" s="25" t="s">
        <v>57</v>
      </c>
      <c r="K77" s="7">
        <v>30</v>
      </c>
      <c r="L77" s="7" t="s">
        <v>35</v>
      </c>
      <c r="M77" s="11">
        <f>INDEX('WEG Motor'!$B$3:$AZ$55,
       MATCH(K77,'WEG Motor'!$A$3:$A$55,0),
       MATCH(L77,'WEG Motor'!$B$2:$AZ$2,0))%</f>
        <v>0.93599999999999994</v>
      </c>
      <c r="N77" s="9">
        <v>0.92</v>
      </c>
      <c r="O77" s="6">
        <v>0.84309999999999996</v>
      </c>
      <c r="P77" s="8">
        <v>3.5459999999999998</v>
      </c>
      <c r="Q77" s="20">
        <f>ROUNDUP(H77/(C74/10^3),2)</f>
        <v>297.20999999999998</v>
      </c>
      <c r="R77" s="302"/>
      <c r="S77" s="5"/>
      <c r="T77" s="79"/>
      <c r="U77" s="62">
        <f>R74*(C74/10^3)</f>
        <v>30.701999999999998</v>
      </c>
      <c r="V77" s="10"/>
      <c r="W77" s="1" t="s">
        <v>22</v>
      </c>
      <c r="X77" s="1">
        <v>999.78</v>
      </c>
      <c r="Z77" s="1" t="s">
        <v>25</v>
      </c>
      <c r="AA77" s="1" t="s">
        <v>26</v>
      </c>
      <c r="AC77" s="2"/>
    </row>
    <row r="78" spans="1:29" x14ac:dyDescent="0.3">
      <c r="A78" s="299"/>
      <c r="B78" s="302"/>
      <c r="C78" s="305"/>
      <c r="D78" s="18">
        <f>IFERROR(ROUNDUP((U78*$X$3*1000*$X$4*$X$2)/((C74/10^3)*$X$5*$AA$4),2),"")</f>
        <v>21.240000000000002</v>
      </c>
      <c r="E78" s="19">
        <v>22.5</v>
      </c>
      <c r="F78" s="21">
        <f>((($X$5*$AA$4*(C74*0.001)*E78)/1000)/O78)</f>
        <v>26.45627283850494</v>
      </c>
      <c r="G78" s="21">
        <f t="shared" si="34"/>
        <v>28.265248759086475</v>
      </c>
      <c r="H78" s="21">
        <f t="shared" si="35"/>
        <v>30.723096477267905</v>
      </c>
      <c r="I78" s="12" t="s">
        <v>18</v>
      </c>
      <c r="J78" s="12" t="s">
        <v>106</v>
      </c>
      <c r="K78" s="7">
        <v>30</v>
      </c>
      <c r="L78" s="7" t="s">
        <v>35</v>
      </c>
      <c r="M78" s="11">
        <f>INDEX('WEG Motor'!$B$3:$AZ$55,
       MATCH(K78,'WEG Motor'!$A$3:$A$55,0),
       MATCH(L78,'WEG Motor'!$B$2:$AZ$2,0))%</f>
        <v>0.93599999999999994</v>
      </c>
      <c r="N78" s="9">
        <v>0.92</v>
      </c>
      <c r="O78" s="6">
        <v>0.8508</v>
      </c>
      <c r="P78" s="76">
        <v>3.5</v>
      </c>
      <c r="Q78" s="20">
        <f>ROUNDUP(H78/(C74/10^3),2)</f>
        <v>301.20999999999998</v>
      </c>
      <c r="R78" s="302"/>
      <c r="S78" s="5"/>
      <c r="T78" s="79"/>
      <c r="U78" s="62">
        <f>R74*(C74/10^3)</f>
        <v>30.701999999999998</v>
      </c>
      <c r="V78" s="10"/>
      <c r="Z78" s="1">
        <v>1</v>
      </c>
      <c r="AA78" s="1">
        <v>3.5169999999999999</v>
      </c>
      <c r="AC78" s="2" t="s">
        <v>21</v>
      </c>
    </row>
    <row r="79" spans="1:29" ht="15" thickBot="1" x14ac:dyDescent="0.35">
      <c r="A79" s="300"/>
      <c r="B79" s="303"/>
      <c r="C79" s="306"/>
      <c r="D79" s="63">
        <f>IFERROR(ROUNDUP((U79*$X$3*1000*$X$4*$X$2)/((C74/10^3)*$X$5*$AA$4),2),"")</f>
        <v>21.240000000000002</v>
      </c>
      <c r="E79" s="19">
        <v>22.5</v>
      </c>
      <c r="F79" s="65">
        <f>((($X$5*$AA$4*(C74*0.001)*E79)/1000)/O79)</f>
        <v>26.45627283850494</v>
      </c>
      <c r="G79" s="65">
        <f t="shared" si="34"/>
        <v>28.265248759086475</v>
      </c>
      <c r="H79" s="65">
        <f t="shared" si="35"/>
        <v>30.723096477267905</v>
      </c>
      <c r="I79" s="66" t="s">
        <v>32</v>
      </c>
      <c r="J79" s="66" t="s">
        <v>107</v>
      </c>
      <c r="K79" s="7">
        <v>30</v>
      </c>
      <c r="L79" s="7" t="s">
        <v>35</v>
      </c>
      <c r="M79" s="68">
        <f>INDEX('WEG Motor'!$B$3:$AZ$55,
       MATCH(K79,'WEG Motor'!$A$3:$A$55,0),
       MATCH(L79,'WEG Motor'!$B$2:$AZ$2,0))%</f>
        <v>0.93599999999999994</v>
      </c>
      <c r="N79" s="69">
        <v>0.92</v>
      </c>
      <c r="O79" s="6">
        <v>0.8508</v>
      </c>
      <c r="P79" s="76">
        <v>3.5</v>
      </c>
      <c r="Q79" s="72">
        <f>ROUNDUP(H79/(C74/10^3),2)</f>
        <v>301.20999999999998</v>
      </c>
      <c r="R79" s="303"/>
      <c r="S79" s="73"/>
      <c r="T79" s="80"/>
      <c r="U79" s="74">
        <f>R74*(C74/10^3)</f>
        <v>30.701999999999998</v>
      </c>
    </row>
    <row r="80" spans="1:29" x14ac:dyDescent="0.3">
      <c r="A80" s="298">
        <v>13</v>
      </c>
      <c r="B80" s="301">
        <v>900</v>
      </c>
      <c r="C80" s="304">
        <f t="shared" ref="C80" si="36" xml:space="preserve"> ROUND((B80 * $AA$6 * 1000) / ($X$5*$AA$2*$AA$3), 0)</f>
        <v>108</v>
      </c>
      <c r="D80" s="50">
        <f>IFERROR(ROUNDUP((U80*$X$3*1000*$X$4*$X$2)/((C80/10^3)*$X$5*$AA$4),2),"")</f>
        <v>21.240000000000002</v>
      </c>
      <c r="E80" s="51">
        <v>22</v>
      </c>
      <c r="F80" s="52">
        <f>((($X$5*$AA$4*(C80*0.001)*E80)/1000)/O80)</f>
        <v>27.653295498754005</v>
      </c>
      <c r="G80" s="52">
        <f>F80/M80</f>
        <v>29.544119122600435</v>
      </c>
      <c r="H80" s="52">
        <f>G80/N80</f>
        <v>32.113172959348297</v>
      </c>
      <c r="I80" s="53" t="s">
        <v>14</v>
      </c>
      <c r="J80" s="53" t="s">
        <v>61</v>
      </c>
      <c r="K80" s="54">
        <v>30</v>
      </c>
      <c r="L80" s="54" t="s">
        <v>35</v>
      </c>
      <c r="M80" s="55">
        <f>INDEX('WEG Motor'!$B$3:$AZ$55,
       MATCH(K80,'WEG Motor'!$A$3:$A$55,0),
       MATCH(L80,'WEG Motor'!$B$2:$AZ$2,0))%</f>
        <v>0.93599999999999994</v>
      </c>
      <c r="N80" s="56">
        <v>0.92</v>
      </c>
      <c r="O80" s="57">
        <v>0.8427</v>
      </c>
      <c r="P80" s="58">
        <v>3.8180000000000001</v>
      </c>
      <c r="Q80" s="59">
        <f>ROUNDUP(H80/(C80/10^3),2)</f>
        <v>297.34999999999997</v>
      </c>
      <c r="R80" s="301">
        <v>301</v>
      </c>
      <c r="S80" s="60"/>
      <c r="T80" s="78"/>
      <c r="U80" s="61">
        <f>R80*(C80/10^3)</f>
        <v>32.508000000000003</v>
      </c>
      <c r="W80" s="1" t="s">
        <v>17</v>
      </c>
      <c r="X80" s="3">
        <v>0.92</v>
      </c>
      <c r="Z80" s="1" t="s">
        <v>23</v>
      </c>
      <c r="AA80" s="1">
        <v>7</v>
      </c>
      <c r="AC80" s="4" t="s">
        <v>38</v>
      </c>
    </row>
    <row r="81" spans="1:29" x14ac:dyDescent="0.3">
      <c r="A81" s="299"/>
      <c r="B81" s="302"/>
      <c r="C81" s="305"/>
      <c r="D81" s="18">
        <f>IFERROR(ROUNDUP((U81*$X$3*1000*$X$4*$X$2)/((C80/10^3)*$X$5*$AA$4),2),"")</f>
        <v>21.240000000000002</v>
      </c>
      <c r="E81" s="19">
        <v>22.5</v>
      </c>
      <c r="F81" s="21">
        <f>((($X$5*$AA$4*(C80*0.001)*E81)/1000)/O81)</f>
        <v>27.44795067833698</v>
      </c>
      <c r="G81" s="21">
        <f t="shared" ref="G81:G85" si="37">F81/M81</f>
        <v>29.324733630701903</v>
      </c>
      <c r="H81" s="21">
        <f t="shared" ref="H81:H85" si="38">G81/N81</f>
        <v>31.874710468154241</v>
      </c>
      <c r="I81" s="23" t="s">
        <v>15</v>
      </c>
      <c r="J81" s="23" t="s">
        <v>56</v>
      </c>
      <c r="K81" s="7">
        <v>30</v>
      </c>
      <c r="L81" s="7" t="s">
        <v>35</v>
      </c>
      <c r="M81" s="11">
        <f>INDEX('WEG Motor'!$B$3:$AZ$55,
       MATCH(K81,'WEG Motor'!$A$3:$A$55,0),
       MATCH(L81,'WEG Motor'!$B$2:$AZ$2,0))%</f>
        <v>0.93599999999999994</v>
      </c>
      <c r="N81" s="9">
        <v>0.92</v>
      </c>
      <c r="O81" s="6">
        <v>0.86829999999999996</v>
      </c>
      <c r="P81" s="8">
        <v>3.476</v>
      </c>
      <c r="Q81" s="20">
        <f>ROUNDUP(H81/(C80/10^3),2)</f>
        <v>295.14</v>
      </c>
      <c r="R81" s="302"/>
      <c r="S81" s="5"/>
      <c r="T81" s="79"/>
      <c r="U81" s="62">
        <f>R80*(C80/10^3)</f>
        <v>32.508000000000003</v>
      </c>
      <c r="W81" s="1" t="s">
        <v>19</v>
      </c>
      <c r="X81" s="3">
        <v>0.94</v>
      </c>
      <c r="Z81" s="1" t="s">
        <v>24</v>
      </c>
      <c r="AA81" s="1">
        <v>4.1859999999999999</v>
      </c>
    </row>
    <row r="82" spans="1:29" x14ac:dyDescent="0.3">
      <c r="A82" s="299"/>
      <c r="B82" s="302"/>
      <c r="C82" s="305"/>
      <c r="D82" s="18">
        <f>IFERROR(ROUNDUP((U82*$X$3*1000*$X$4*$X$2)/((C80/10^3)*$X$5*$AA$4),2),"")</f>
        <v>21.240000000000002</v>
      </c>
      <c r="E82" s="19">
        <v>22.5</v>
      </c>
      <c r="F82" s="21">
        <f>((($X$5*$AA$4*(C80*0.001)*E82)/1000)/O82)</f>
        <v>27.44795067833698</v>
      </c>
      <c r="G82" s="21">
        <f t="shared" si="37"/>
        <v>29.324733630701903</v>
      </c>
      <c r="H82" s="21">
        <f t="shared" si="38"/>
        <v>31.874710468154241</v>
      </c>
      <c r="I82" s="24" t="s">
        <v>16</v>
      </c>
      <c r="J82" s="24" t="s">
        <v>66</v>
      </c>
      <c r="K82" s="7">
        <v>30</v>
      </c>
      <c r="L82" s="7" t="s">
        <v>35</v>
      </c>
      <c r="M82" s="11">
        <f>INDEX('WEG Motor'!$B$3:$AZ$55,
       MATCH(K82,'WEG Motor'!$A$3:$A$55,0),
       MATCH(L82,'WEG Motor'!$B$2:$AZ$2,0))%</f>
        <v>0.93599999999999994</v>
      </c>
      <c r="N82" s="9">
        <v>0.92</v>
      </c>
      <c r="O82" s="6">
        <v>0.86829999999999996</v>
      </c>
      <c r="P82" s="8">
        <v>3.476</v>
      </c>
      <c r="Q82" s="20">
        <f>ROUNDUP(H82/(C80/10^3),2)</f>
        <v>295.14</v>
      </c>
      <c r="R82" s="302"/>
      <c r="S82" s="5"/>
      <c r="T82" s="79"/>
      <c r="U82" s="62">
        <f>R80*(C80/10^3)</f>
        <v>32.508000000000003</v>
      </c>
      <c r="V82" s="10"/>
      <c r="W82" s="1" t="s">
        <v>27</v>
      </c>
      <c r="X82" s="3">
        <v>0.8</v>
      </c>
      <c r="Z82" s="1" t="s">
        <v>28</v>
      </c>
      <c r="AA82" s="1">
        <v>9.81</v>
      </c>
      <c r="AC82" s="2" t="s">
        <v>20</v>
      </c>
    </row>
    <row r="83" spans="1:29" x14ac:dyDescent="0.3">
      <c r="A83" s="299"/>
      <c r="B83" s="302"/>
      <c r="C83" s="305"/>
      <c r="D83" s="18">
        <f>IFERROR(ROUNDUP((U83*$X$3*1000*$X$4*$X$2)/((C80/10^3)*$X$5*$AA$4),2),"")</f>
        <v>21.240000000000002</v>
      </c>
      <c r="E83" s="19">
        <v>22</v>
      </c>
      <c r="F83" s="21">
        <f>((($X$5*$AA$4*(C80*0.001)*E83)/1000)/O83)</f>
        <v>27.653295498754005</v>
      </c>
      <c r="G83" s="21">
        <f t="shared" si="37"/>
        <v>29.544119122600435</v>
      </c>
      <c r="H83" s="21">
        <f t="shared" si="38"/>
        <v>32.113172959348297</v>
      </c>
      <c r="I83" s="25" t="s">
        <v>30</v>
      </c>
      <c r="J83" s="25" t="s">
        <v>57</v>
      </c>
      <c r="K83" s="7">
        <v>30</v>
      </c>
      <c r="L83" s="7" t="s">
        <v>35</v>
      </c>
      <c r="M83" s="11">
        <f>INDEX('WEG Motor'!$B$3:$AZ$55,
       MATCH(K83,'WEG Motor'!$A$3:$A$55,0),
       MATCH(L83,'WEG Motor'!$B$2:$AZ$2,0))%</f>
        <v>0.93599999999999994</v>
      </c>
      <c r="N83" s="9">
        <v>0.92</v>
      </c>
      <c r="O83" s="6">
        <v>0.8427</v>
      </c>
      <c r="P83" s="8">
        <v>3.8180000000000001</v>
      </c>
      <c r="Q83" s="20">
        <f>ROUNDUP(H83/(C80/10^3),2)</f>
        <v>297.34999999999997</v>
      </c>
      <c r="R83" s="302"/>
      <c r="S83" s="5"/>
      <c r="T83" s="79"/>
      <c r="U83" s="62">
        <f>R80*(C80/10^3)</f>
        <v>32.508000000000003</v>
      </c>
      <c r="V83" s="10"/>
      <c r="W83" s="1" t="s">
        <v>22</v>
      </c>
      <c r="X83" s="1">
        <v>999.78</v>
      </c>
      <c r="Z83" s="1" t="s">
        <v>25</v>
      </c>
      <c r="AA83" s="1" t="s">
        <v>26</v>
      </c>
      <c r="AC83" s="2"/>
    </row>
    <row r="84" spans="1:29" x14ac:dyDescent="0.3">
      <c r="A84" s="299"/>
      <c r="B84" s="302"/>
      <c r="C84" s="305"/>
      <c r="D84" s="18">
        <f>IFERROR(ROUNDUP((U84*$X$3*1000*$X$4*$X$2)/((C80/10^3)*$X$5*$AA$4),2),"")</f>
        <v>21.240000000000002</v>
      </c>
      <c r="E84" s="19">
        <v>22.5</v>
      </c>
      <c r="F84" s="21">
        <f>((($X$5*$AA$4*(C80*0.001)*E84)/1000)/O84)</f>
        <v>27.761276149097259</v>
      </c>
      <c r="G84" s="21">
        <f t="shared" si="37"/>
        <v>29.659483065274852</v>
      </c>
      <c r="H84" s="21">
        <f t="shared" si="38"/>
        <v>32.238568549211791</v>
      </c>
      <c r="I84" s="12" t="s">
        <v>18</v>
      </c>
      <c r="J84" s="12" t="s">
        <v>106</v>
      </c>
      <c r="K84" s="7">
        <v>30</v>
      </c>
      <c r="L84" s="7" t="s">
        <v>35</v>
      </c>
      <c r="M84" s="11">
        <f>INDEX('WEG Motor'!$B$3:$AZ$55,
       MATCH(K84,'WEG Motor'!$A$3:$A$55,0),
       MATCH(L84,'WEG Motor'!$B$2:$AZ$2,0))%</f>
        <v>0.93599999999999994</v>
      </c>
      <c r="N84" s="9">
        <v>0.92</v>
      </c>
      <c r="O84" s="6">
        <v>0.85850000000000004</v>
      </c>
      <c r="P84" s="76">
        <v>3.64</v>
      </c>
      <c r="Q84" s="20">
        <f>ROUNDUP(H84/(C80/10^3),2)</f>
        <v>298.51</v>
      </c>
      <c r="R84" s="302"/>
      <c r="S84" s="5"/>
      <c r="T84" s="79"/>
      <c r="U84" s="62">
        <f>R80*(C80/10^3)</f>
        <v>32.508000000000003</v>
      </c>
      <c r="V84" s="10"/>
      <c r="Z84" s="1">
        <v>1</v>
      </c>
      <c r="AA84" s="1">
        <v>3.5169999999999999</v>
      </c>
      <c r="AC84" s="2" t="s">
        <v>21</v>
      </c>
    </row>
    <row r="85" spans="1:29" ht="15" thickBot="1" x14ac:dyDescent="0.35">
      <c r="A85" s="300"/>
      <c r="B85" s="303"/>
      <c r="C85" s="306"/>
      <c r="D85" s="63">
        <f>IFERROR(ROUNDUP((U85*$X$3*1000*$X$4*$X$2)/((C80/10^3)*$X$5*$AA$4),2),"")</f>
        <v>21.240000000000002</v>
      </c>
      <c r="E85" s="19">
        <v>22.5</v>
      </c>
      <c r="F85" s="65">
        <f>((($X$5*$AA$4*(C80*0.001)*E85)/1000)/O85)</f>
        <v>27.761276149097259</v>
      </c>
      <c r="G85" s="65">
        <f t="shared" si="37"/>
        <v>29.659483065274852</v>
      </c>
      <c r="H85" s="65">
        <f t="shared" si="38"/>
        <v>32.238568549211791</v>
      </c>
      <c r="I85" s="66" t="s">
        <v>32</v>
      </c>
      <c r="J85" s="66" t="s">
        <v>107</v>
      </c>
      <c r="K85" s="7">
        <v>30</v>
      </c>
      <c r="L85" s="7" t="s">
        <v>35</v>
      </c>
      <c r="M85" s="68">
        <f>INDEX('WEG Motor'!$B$3:$AZ$55,
       MATCH(K85,'WEG Motor'!$A$3:$A$55,0),
       MATCH(L85,'WEG Motor'!$B$2:$AZ$2,0))%</f>
        <v>0.93599999999999994</v>
      </c>
      <c r="N85" s="69">
        <v>0.92</v>
      </c>
      <c r="O85" s="6">
        <v>0.85850000000000004</v>
      </c>
      <c r="P85" s="76">
        <v>3.64</v>
      </c>
      <c r="Q85" s="72">
        <f>ROUNDUP(H85/(C80/10^3),2)</f>
        <v>298.51</v>
      </c>
      <c r="R85" s="303"/>
      <c r="S85" s="73"/>
      <c r="T85" s="80"/>
      <c r="U85" s="74">
        <f>R80*(C80/10^3)</f>
        <v>32.508000000000003</v>
      </c>
    </row>
    <row r="86" spans="1:29" x14ac:dyDescent="0.3">
      <c r="A86" s="298">
        <v>14</v>
      </c>
      <c r="B86" s="301">
        <v>950</v>
      </c>
      <c r="C86" s="304">
        <f t="shared" ref="C86" si="39" xml:space="preserve"> ROUND((B86 * $AA$6 * 1000) / ($X$5*$AA$2*$AA$3), 0)</f>
        <v>114</v>
      </c>
      <c r="D86" s="50">
        <f>IFERROR(ROUNDUP((U86*$X$3*1000*$X$4*$X$2)/((C86/10^3)*$X$5*$AA$4),2),"")</f>
        <v>21.240000000000002</v>
      </c>
      <c r="E86" s="51">
        <v>22</v>
      </c>
      <c r="F86" s="52">
        <f>((($X$5*$AA$4*(C86*0.001)*E86)/1000)/O86)</f>
        <v>29.248593619976219</v>
      </c>
      <c r="G86" s="52">
        <f>F86/M86</f>
        <v>31.148662002104597</v>
      </c>
      <c r="H86" s="52">
        <f>G86/N86</f>
        <v>33.85724130663543</v>
      </c>
      <c r="I86" s="53" t="s">
        <v>14</v>
      </c>
      <c r="J86" s="53" t="s">
        <v>69</v>
      </c>
      <c r="K86" s="54">
        <v>37</v>
      </c>
      <c r="L86" s="54" t="s">
        <v>35</v>
      </c>
      <c r="M86" s="55">
        <f>INDEX('WEG Motor'!$B$3:$AZ$55,
       MATCH(K86,'WEG Motor'!$A$3:$A$55,0),
       MATCH(L86,'WEG Motor'!$B$2:$AZ$2,0))%</f>
        <v>0.93900000000000006</v>
      </c>
      <c r="N86" s="56">
        <v>0.92</v>
      </c>
      <c r="O86" s="57">
        <v>0.84099999999999997</v>
      </c>
      <c r="P86" s="58">
        <v>4.1130000000000004</v>
      </c>
      <c r="Q86" s="59">
        <f>ROUNDUP(H86/(C86/10^3),2)</f>
        <v>297</v>
      </c>
      <c r="R86" s="301">
        <v>301</v>
      </c>
      <c r="S86" s="60"/>
      <c r="T86" s="78"/>
      <c r="U86" s="61">
        <f>R86*(C86/10^3)</f>
        <v>34.314</v>
      </c>
      <c r="W86" s="1" t="s">
        <v>17</v>
      </c>
      <c r="X86" s="3">
        <v>0.92</v>
      </c>
      <c r="Z86" s="1" t="s">
        <v>23</v>
      </c>
      <c r="AA86" s="1">
        <v>7</v>
      </c>
      <c r="AC86" s="4" t="s">
        <v>38</v>
      </c>
    </row>
    <row r="87" spans="1:29" x14ac:dyDescent="0.3">
      <c r="A87" s="299"/>
      <c r="B87" s="302"/>
      <c r="C87" s="305"/>
      <c r="D87" s="18">
        <f>IFERROR(ROUNDUP((U87*$X$3*1000*$X$4*$X$2)/((C86/10^3)*$X$5*$AA$4),2),"")</f>
        <v>21.240000000000002</v>
      </c>
      <c r="E87" s="19">
        <v>23</v>
      </c>
      <c r="F87" s="21">
        <f>((($X$5*$AA$4*(C86*0.001)*E87)/1000)/O87)</f>
        <v>29.562203931026552</v>
      </c>
      <c r="G87" s="21">
        <f t="shared" ref="G87:G91" si="40">F87/M87</f>
        <v>31.482645293957987</v>
      </c>
      <c r="H87" s="21">
        <f t="shared" ref="H87:H91" si="41">G87/N87</f>
        <v>34.220266623867374</v>
      </c>
      <c r="I87" s="23" t="s">
        <v>15</v>
      </c>
      <c r="J87" s="23" t="s">
        <v>63</v>
      </c>
      <c r="K87" s="7">
        <v>37</v>
      </c>
      <c r="L87" s="7" t="s">
        <v>35</v>
      </c>
      <c r="M87" s="11">
        <f>INDEX('WEG Motor'!$B$3:$AZ$55,
       MATCH(K87,'WEG Motor'!$A$3:$A$55,0),
       MATCH(L87,'WEG Motor'!$B$2:$AZ$2,0))%</f>
        <v>0.93900000000000006</v>
      </c>
      <c r="N87" s="9">
        <v>0.92</v>
      </c>
      <c r="O87" s="6">
        <v>0.86990000000000001</v>
      </c>
      <c r="P87" s="8">
        <v>3.6509999999999998</v>
      </c>
      <c r="Q87" s="20">
        <f>ROUNDUP(H87/(C86/10^3),2)</f>
        <v>300.18</v>
      </c>
      <c r="R87" s="302"/>
      <c r="S87" s="5"/>
      <c r="T87" s="79"/>
      <c r="U87" s="62">
        <f>R86*(C86/10^3)</f>
        <v>34.314</v>
      </c>
      <c r="W87" s="1" t="s">
        <v>19</v>
      </c>
      <c r="X87" s="3">
        <v>0.94</v>
      </c>
      <c r="Z87" s="1" t="s">
        <v>24</v>
      </c>
      <c r="AA87" s="1">
        <v>4.1859999999999999</v>
      </c>
    </row>
    <row r="88" spans="1:29" x14ac:dyDescent="0.3">
      <c r="A88" s="299"/>
      <c r="B88" s="302"/>
      <c r="C88" s="305"/>
      <c r="D88" s="18">
        <f>IFERROR(ROUNDUP((U88*$X$3*1000*$X$4*$X$2)/((C86/10^3)*$X$5*$AA$4),2),"")</f>
        <v>21.240000000000002</v>
      </c>
      <c r="E88" s="19">
        <v>23</v>
      </c>
      <c r="F88" s="21">
        <f>((($X$5*$AA$4*(C86*0.001)*E88)/1000)/O88)</f>
        <v>29.562203931026552</v>
      </c>
      <c r="G88" s="21">
        <f t="shared" si="40"/>
        <v>31.482645293957987</v>
      </c>
      <c r="H88" s="21">
        <f t="shared" si="41"/>
        <v>34.220266623867374</v>
      </c>
      <c r="I88" s="24" t="s">
        <v>16</v>
      </c>
      <c r="J88" s="24" t="s">
        <v>68</v>
      </c>
      <c r="K88" s="7">
        <v>37</v>
      </c>
      <c r="L88" s="7" t="s">
        <v>35</v>
      </c>
      <c r="M88" s="11">
        <f>INDEX('WEG Motor'!$B$3:$AZ$55,
       MATCH(K88,'WEG Motor'!$A$3:$A$55,0),
       MATCH(L88,'WEG Motor'!$B$2:$AZ$2,0))%</f>
        <v>0.93900000000000006</v>
      </c>
      <c r="N88" s="9">
        <v>0.92</v>
      </c>
      <c r="O88" s="6">
        <v>0.86990000000000001</v>
      </c>
      <c r="P88" s="8">
        <v>3.6509999999999998</v>
      </c>
      <c r="Q88" s="20">
        <f>ROUNDUP(H88/(C86/10^3),2)</f>
        <v>300.18</v>
      </c>
      <c r="R88" s="302"/>
      <c r="S88" s="5"/>
      <c r="T88" s="79"/>
      <c r="U88" s="62">
        <f>R86*(C86/10^3)</f>
        <v>34.314</v>
      </c>
      <c r="V88" s="10"/>
      <c r="W88" s="1" t="s">
        <v>27</v>
      </c>
      <c r="X88" s="3">
        <v>0.8</v>
      </c>
      <c r="Z88" s="1" t="s">
        <v>28</v>
      </c>
      <c r="AA88" s="1">
        <v>9.81</v>
      </c>
      <c r="AC88" s="2" t="s">
        <v>20</v>
      </c>
    </row>
    <row r="89" spans="1:29" x14ac:dyDescent="0.3">
      <c r="A89" s="299"/>
      <c r="B89" s="302"/>
      <c r="C89" s="305"/>
      <c r="D89" s="18">
        <f>IFERROR(ROUNDUP((U89*$X$3*1000*$X$4*$X$2)/((C86/10^3)*$X$5*$AA$4),2),"")</f>
        <v>21.240000000000002</v>
      </c>
      <c r="E89" s="19">
        <v>22</v>
      </c>
      <c r="F89" s="21">
        <f>((($X$5*$AA$4*(C86*0.001)*E89)/1000)/O89)</f>
        <v>29.300854359023226</v>
      </c>
      <c r="G89" s="21">
        <f t="shared" si="40"/>
        <v>31.204317741238793</v>
      </c>
      <c r="H89" s="21">
        <f t="shared" si="41"/>
        <v>33.917736675259555</v>
      </c>
      <c r="I89" s="25" t="s">
        <v>30</v>
      </c>
      <c r="J89" s="25" t="s">
        <v>62</v>
      </c>
      <c r="K89" s="7">
        <v>37</v>
      </c>
      <c r="L89" s="7" t="s">
        <v>35</v>
      </c>
      <c r="M89" s="11">
        <f>INDEX('WEG Motor'!$B$3:$AZ$55,
       MATCH(K89,'WEG Motor'!$A$3:$A$55,0),
       MATCH(L89,'WEG Motor'!$B$2:$AZ$2,0))%</f>
        <v>0.93900000000000006</v>
      </c>
      <c r="N89" s="9">
        <v>0.92</v>
      </c>
      <c r="O89" s="6">
        <v>0.83950000000000002</v>
      </c>
      <c r="P89" s="8">
        <v>4.1219999999999999</v>
      </c>
      <c r="Q89" s="20">
        <f>ROUNDUP(H89/(C86/10^3),2)</f>
        <v>297.52999999999997</v>
      </c>
      <c r="R89" s="302"/>
      <c r="S89" s="5"/>
      <c r="T89" s="79"/>
      <c r="U89" s="62">
        <f>R86*(C86/10^3)</f>
        <v>34.314</v>
      </c>
      <c r="V89" s="10"/>
      <c r="W89" s="1" t="s">
        <v>22</v>
      </c>
      <c r="X89" s="1">
        <v>999.78</v>
      </c>
      <c r="Z89" s="1" t="s">
        <v>25</v>
      </c>
      <c r="AA89" s="1" t="s">
        <v>26</v>
      </c>
      <c r="AC89" s="2"/>
    </row>
    <row r="90" spans="1:29" x14ac:dyDescent="0.3">
      <c r="A90" s="299"/>
      <c r="B90" s="302"/>
      <c r="C90" s="305"/>
      <c r="D90" s="18">
        <f>IFERROR(ROUNDUP((U90*$X$3*1000*$X$4*$X$2)/((C86/10^3)*$X$5*$AA$4),2),"")</f>
        <v>21.240000000000002</v>
      </c>
      <c r="E90" s="19">
        <v>22.5</v>
      </c>
      <c r="F90" s="21">
        <f>((($X$5*$AA$4*(C86*0.001)*E90)/1000)/O90)</f>
        <v>29.133890233931673</v>
      </c>
      <c r="G90" s="21">
        <f t="shared" si="40"/>
        <v>31.026507171386232</v>
      </c>
      <c r="H90" s="21">
        <f t="shared" si="41"/>
        <v>33.724464316724166</v>
      </c>
      <c r="I90" s="12" t="s">
        <v>18</v>
      </c>
      <c r="J90" s="12" t="s">
        <v>106</v>
      </c>
      <c r="K90" s="7">
        <v>37</v>
      </c>
      <c r="L90" s="7" t="s">
        <v>35</v>
      </c>
      <c r="M90" s="11">
        <f>INDEX('WEG Motor'!$B$3:$AZ$55,
       MATCH(K90,'WEG Motor'!$A$3:$A$55,0),
       MATCH(L90,'WEG Motor'!$B$2:$AZ$2,0))%</f>
        <v>0.93900000000000006</v>
      </c>
      <c r="N90" s="9">
        <v>0.92</v>
      </c>
      <c r="O90" s="6">
        <v>0.86350000000000005</v>
      </c>
      <c r="P90" s="76">
        <v>3.81</v>
      </c>
      <c r="Q90" s="20">
        <f>ROUNDUP(H90/(C86/10^3),2)</f>
        <v>295.83</v>
      </c>
      <c r="R90" s="302"/>
      <c r="S90" s="5"/>
      <c r="T90" s="79"/>
      <c r="U90" s="62">
        <f>R86*(C86/10^3)</f>
        <v>34.314</v>
      </c>
      <c r="V90" s="10"/>
      <c r="Z90" s="1">
        <v>1</v>
      </c>
      <c r="AA90" s="1">
        <v>3.5169999999999999</v>
      </c>
      <c r="AC90" s="2" t="s">
        <v>21</v>
      </c>
    </row>
    <row r="91" spans="1:29" ht="15" thickBot="1" x14ac:dyDescent="0.35">
      <c r="A91" s="300"/>
      <c r="B91" s="303"/>
      <c r="C91" s="306"/>
      <c r="D91" s="63">
        <f>IFERROR(ROUNDUP((U91*$X$3*1000*$X$4*$X$2)/((C86/10^3)*$X$5*$AA$4),2),"")</f>
        <v>21.240000000000002</v>
      </c>
      <c r="E91" s="64">
        <v>22.5</v>
      </c>
      <c r="F91" s="65">
        <f>((($X$5*$AA$4*(C86*0.001)*E91)/1000)/O91)</f>
        <v>29.133890233931673</v>
      </c>
      <c r="G91" s="65">
        <f t="shared" si="40"/>
        <v>31.026507171386232</v>
      </c>
      <c r="H91" s="65">
        <f t="shared" si="41"/>
        <v>33.724464316724166</v>
      </c>
      <c r="I91" s="66" t="s">
        <v>32</v>
      </c>
      <c r="J91" s="66" t="s">
        <v>107</v>
      </c>
      <c r="K91" s="67">
        <v>37</v>
      </c>
      <c r="L91" s="67" t="s">
        <v>35</v>
      </c>
      <c r="M91" s="68">
        <f>INDEX('WEG Motor'!$B$3:$AZ$55,
       MATCH(K91,'WEG Motor'!$A$3:$A$55,0),
       MATCH(L91,'WEG Motor'!$B$2:$AZ$2,0))%</f>
        <v>0.93900000000000006</v>
      </c>
      <c r="N91" s="69">
        <v>0.92</v>
      </c>
      <c r="O91" s="70">
        <v>0.86350000000000005</v>
      </c>
      <c r="P91" s="117">
        <v>3.81</v>
      </c>
      <c r="Q91" s="72">
        <f>ROUNDUP(H91/(C86/10^3),2)</f>
        <v>295.83</v>
      </c>
      <c r="R91" s="303"/>
      <c r="S91" s="73"/>
      <c r="T91" s="80"/>
      <c r="U91" s="74">
        <f>R86*(C86/10^3)</f>
        <v>34.314</v>
      </c>
    </row>
    <row r="92" spans="1:29" x14ac:dyDescent="0.3">
      <c r="A92" s="298">
        <v>15</v>
      </c>
      <c r="B92" s="301">
        <v>1000</v>
      </c>
      <c r="C92" s="304">
        <f t="shared" ref="C92" si="42" xml:space="preserve"> ROUND((B92 * $AA$6 * 1000) / ($X$5*$AA$2*$AA$3), 0)</f>
        <v>120</v>
      </c>
      <c r="D92" s="50">
        <f>IFERROR(ROUNDUP((U92*$X$3*1000*$X$4*$X$2)/((C92/10^3)*$X$5*$AA$4),2),"")</f>
        <v>21.240000000000002</v>
      </c>
      <c r="E92" s="51">
        <v>21.5</v>
      </c>
      <c r="F92" s="52">
        <f>((($X$5*$AA$4*(C92*0.001)*E92)/1000)/O92)</f>
        <v>30.311729568758981</v>
      </c>
      <c r="G92" s="52">
        <f>F92/M92</f>
        <v>32.280862160552694</v>
      </c>
      <c r="H92" s="52">
        <f>G92/N92</f>
        <v>35.087893652774667</v>
      </c>
      <c r="I92" s="53" t="s">
        <v>14</v>
      </c>
      <c r="J92" s="53" t="s">
        <v>69</v>
      </c>
      <c r="K92" s="54">
        <v>37</v>
      </c>
      <c r="L92" s="54" t="s">
        <v>35</v>
      </c>
      <c r="M92" s="55">
        <f>INDEX('WEG Motor'!$B$3:$AZ$55,
       MATCH(K92,'WEG Motor'!$A$3:$A$55,0),
       MATCH(L92,'WEG Motor'!$B$2:$AZ$2,0))%</f>
        <v>0.93900000000000006</v>
      </c>
      <c r="N92" s="56">
        <v>0.92</v>
      </c>
      <c r="O92" s="57">
        <v>0.83479999999999999</v>
      </c>
      <c r="P92" s="58">
        <v>4.4870000000000001</v>
      </c>
      <c r="Q92" s="59">
        <f>ROUNDUP(H92/(C92/10^3),2)</f>
        <v>292.39999999999998</v>
      </c>
      <c r="R92" s="301">
        <v>301</v>
      </c>
      <c r="S92" s="60"/>
      <c r="T92" s="78"/>
      <c r="U92" s="61">
        <f>R92*(C92/10^3)</f>
        <v>36.119999999999997</v>
      </c>
      <c r="W92" s="1" t="s">
        <v>17</v>
      </c>
      <c r="X92" s="3">
        <v>0.92</v>
      </c>
      <c r="Z92" s="1" t="s">
        <v>23</v>
      </c>
      <c r="AA92" s="1">
        <v>7</v>
      </c>
      <c r="AC92" s="4" t="s">
        <v>38</v>
      </c>
    </row>
    <row r="93" spans="1:29" x14ac:dyDescent="0.3">
      <c r="A93" s="299"/>
      <c r="B93" s="302"/>
      <c r="C93" s="305"/>
      <c r="D93" s="18">
        <f>IFERROR(ROUNDUP((U93*$X$3*1000*$X$4*$X$2)/((C92/10^3)*$X$5*$AA$4),2),"")</f>
        <v>21.240000000000002</v>
      </c>
      <c r="E93" s="19">
        <v>23</v>
      </c>
      <c r="F93" s="21">
        <f>((($X$5*$AA$4*(C92*0.001)*E93)/1000)/O93)</f>
        <v>31.164682670964773</v>
      </c>
      <c r="G93" s="21">
        <f t="shared" ref="G93:G97" si="43">F93/M93</f>
        <v>33.189225421687723</v>
      </c>
      <c r="H93" s="21">
        <f t="shared" ref="H93:H97" si="44">G93/N93</f>
        <v>36.075245023573608</v>
      </c>
      <c r="I93" s="23" t="s">
        <v>15</v>
      </c>
      <c r="J93" s="23" t="s">
        <v>63</v>
      </c>
      <c r="K93" s="7">
        <v>37</v>
      </c>
      <c r="L93" s="7" t="s">
        <v>35</v>
      </c>
      <c r="M93" s="11">
        <f>INDEX('WEG Motor'!$B$3:$AZ$55,
       MATCH(K93,'WEG Motor'!$A$3:$A$55,0),
       MATCH(L93,'WEG Motor'!$B$2:$AZ$2,0))%</f>
        <v>0.93900000000000006</v>
      </c>
      <c r="N93" s="9">
        <v>0.92</v>
      </c>
      <c r="O93" s="6">
        <v>0.86860000000000004</v>
      </c>
      <c r="P93" s="8">
        <v>3.8769999999999998</v>
      </c>
      <c r="Q93" s="20">
        <f>ROUNDUP(H93/(C92/10^3),2)</f>
        <v>300.63</v>
      </c>
      <c r="R93" s="302"/>
      <c r="S93" s="5"/>
      <c r="T93" s="79"/>
      <c r="U93" s="62">
        <f>R92*(C92/10^3)</f>
        <v>36.119999999999997</v>
      </c>
      <c r="W93" s="1" t="s">
        <v>19</v>
      </c>
      <c r="X93" s="3">
        <v>0.94</v>
      </c>
      <c r="Z93" s="1" t="s">
        <v>24</v>
      </c>
      <c r="AA93" s="1">
        <v>4.1859999999999999</v>
      </c>
    </row>
    <row r="94" spans="1:29" x14ac:dyDescent="0.3">
      <c r="A94" s="299"/>
      <c r="B94" s="302"/>
      <c r="C94" s="305"/>
      <c r="D94" s="18">
        <f>IFERROR(ROUNDUP((U94*$X$3*1000*$X$4*$X$2)/((C92/10^3)*$X$5*$AA$4),2),"")</f>
        <v>21.240000000000002</v>
      </c>
      <c r="E94" s="19">
        <v>23</v>
      </c>
      <c r="F94" s="21">
        <f>((($X$5*$AA$4*(C92*0.001)*E94)/1000)/O94)</f>
        <v>31.164682670964773</v>
      </c>
      <c r="G94" s="21">
        <f t="shared" si="43"/>
        <v>33.189225421687723</v>
      </c>
      <c r="H94" s="21">
        <f t="shared" si="44"/>
        <v>36.075245023573608</v>
      </c>
      <c r="I94" s="24" t="s">
        <v>16</v>
      </c>
      <c r="J94" s="24" t="s">
        <v>68</v>
      </c>
      <c r="K94" s="7">
        <v>37</v>
      </c>
      <c r="L94" s="7" t="s">
        <v>35</v>
      </c>
      <c r="M94" s="11">
        <f>INDEX('WEG Motor'!$B$3:$AZ$55,
       MATCH(K94,'WEG Motor'!$A$3:$A$55,0),
       MATCH(L94,'WEG Motor'!$B$2:$AZ$2,0))%</f>
        <v>0.93900000000000006</v>
      </c>
      <c r="N94" s="9">
        <v>0.92</v>
      </c>
      <c r="O94" s="6">
        <v>0.86860000000000004</v>
      </c>
      <c r="P94" s="8">
        <v>3.8769999999999998</v>
      </c>
      <c r="Q94" s="20">
        <f>ROUNDUP(H94/(C92/10^3),2)</f>
        <v>300.63</v>
      </c>
      <c r="R94" s="302"/>
      <c r="S94" s="5"/>
      <c r="T94" s="79"/>
      <c r="U94" s="62">
        <f>R92*(C92/10^3)</f>
        <v>36.119999999999997</v>
      </c>
      <c r="V94" s="10"/>
      <c r="W94" s="1" t="s">
        <v>27</v>
      </c>
      <c r="X94" s="3">
        <v>0.8</v>
      </c>
      <c r="Z94" s="1" t="s">
        <v>28</v>
      </c>
      <c r="AA94" s="1">
        <v>9.81</v>
      </c>
      <c r="AC94" s="2" t="s">
        <v>20</v>
      </c>
    </row>
    <row r="95" spans="1:29" x14ac:dyDescent="0.3">
      <c r="A95" s="299"/>
      <c r="B95" s="302"/>
      <c r="C95" s="305"/>
      <c r="D95" s="18">
        <f>IFERROR(ROUNDUP((U95*$X$3*1000*$X$4*$X$2)/((C92/10^3)*$X$5*$AA$4),2),"")</f>
        <v>21.240000000000002</v>
      </c>
      <c r="E95" s="19">
        <v>22</v>
      </c>
      <c r="F95" s="21">
        <f>((($X$5*$AA$4*(C92*0.001)*E95)/1000)/O95)</f>
        <v>31.012938498023718</v>
      </c>
      <c r="G95" s="21">
        <f t="shared" si="43"/>
        <v>33.027623533571585</v>
      </c>
      <c r="H95" s="21">
        <f t="shared" si="44"/>
        <v>35.899590797360418</v>
      </c>
      <c r="I95" s="25" t="s">
        <v>30</v>
      </c>
      <c r="J95" s="25" t="s">
        <v>62</v>
      </c>
      <c r="K95" s="7">
        <v>37</v>
      </c>
      <c r="L95" s="7" t="s">
        <v>35</v>
      </c>
      <c r="M95" s="11">
        <f>INDEX('WEG Motor'!$B$3:$AZ$55,
       MATCH(K95,'WEG Motor'!$A$3:$A$55,0),
       MATCH(L95,'WEG Motor'!$B$2:$AZ$2,0))%</f>
        <v>0.93900000000000006</v>
      </c>
      <c r="N95" s="9">
        <v>0.92</v>
      </c>
      <c r="O95" s="6">
        <v>0.83489999999999998</v>
      </c>
      <c r="P95" s="8">
        <v>4.4640000000000004</v>
      </c>
      <c r="Q95" s="20">
        <f>ROUNDUP(H95/(C92/10^3),2)</f>
        <v>299.17</v>
      </c>
      <c r="R95" s="302"/>
      <c r="S95" s="5"/>
      <c r="T95" s="79"/>
      <c r="U95" s="62">
        <f>R92*(C92/10^3)</f>
        <v>36.119999999999997</v>
      </c>
      <c r="V95" s="10"/>
      <c r="W95" s="1" t="s">
        <v>22</v>
      </c>
      <c r="X95" s="1">
        <v>999.78</v>
      </c>
      <c r="Z95" s="1" t="s">
        <v>25</v>
      </c>
      <c r="AA95" s="1" t="s">
        <v>26</v>
      </c>
      <c r="AC95" s="2"/>
    </row>
    <row r="96" spans="1:29" x14ac:dyDescent="0.3">
      <c r="A96" s="299"/>
      <c r="B96" s="302"/>
      <c r="C96" s="305"/>
      <c r="D96" s="18">
        <f>IFERROR(ROUNDUP((U96*$X$3*1000*$X$4*$X$2)/((C92/10^3)*$X$5*$AA$4),2),"")</f>
        <v>21.240000000000002</v>
      </c>
      <c r="E96" s="19">
        <v>23</v>
      </c>
      <c r="F96" s="21">
        <f>((($X$5*$AA$4*(C92*0.001)*E96)/1000)/O96)</f>
        <v>31.164682670964773</v>
      </c>
      <c r="G96" s="21">
        <f t="shared" si="43"/>
        <v>33.189225421687723</v>
      </c>
      <c r="H96" s="21">
        <f t="shared" si="44"/>
        <v>36.075245023573608</v>
      </c>
      <c r="I96" s="12" t="s">
        <v>18</v>
      </c>
      <c r="J96" s="12" t="s">
        <v>106</v>
      </c>
      <c r="K96" s="7">
        <v>37</v>
      </c>
      <c r="L96" s="7" t="s">
        <v>35</v>
      </c>
      <c r="M96" s="11">
        <f>INDEX('WEG Motor'!$B$3:$AZ$55,
       MATCH(K96,'WEG Motor'!$A$3:$A$55,0),
       MATCH(L96,'WEG Motor'!$B$2:$AZ$2,0))%</f>
        <v>0.93900000000000006</v>
      </c>
      <c r="N96" s="9">
        <v>0.92</v>
      </c>
      <c r="O96" s="6">
        <v>0.86860000000000004</v>
      </c>
      <c r="P96" s="76">
        <v>3.97</v>
      </c>
      <c r="Q96" s="20">
        <f>ROUNDUP(H96/(C92/10^3),2)</f>
        <v>300.63</v>
      </c>
      <c r="R96" s="302"/>
      <c r="S96" s="5"/>
      <c r="T96" s="79"/>
      <c r="U96" s="62">
        <f>R92*(C92/10^3)</f>
        <v>36.119999999999997</v>
      </c>
      <c r="V96" s="10"/>
      <c r="Z96" s="1">
        <v>1</v>
      </c>
      <c r="AA96" s="1">
        <v>3.5169999999999999</v>
      </c>
      <c r="AC96" s="2" t="s">
        <v>21</v>
      </c>
    </row>
    <row r="97" spans="1:29" ht="15" thickBot="1" x14ac:dyDescent="0.35">
      <c r="A97" s="300"/>
      <c r="B97" s="303"/>
      <c r="C97" s="306"/>
      <c r="D97" s="63">
        <f>IFERROR(ROUNDUP((U97*$X$3*1000*$X$4*$X$2)/((C92/10^3)*$X$5*$AA$4),2),"")</f>
        <v>21.240000000000002</v>
      </c>
      <c r="E97" s="64">
        <v>23</v>
      </c>
      <c r="F97" s="65">
        <f>((($X$5*$AA$4*(C92*0.001)*E97)/1000)/O97)</f>
        <v>31.164682670964773</v>
      </c>
      <c r="G97" s="65">
        <f t="shared" si="43"/>
        <v>33.189225421687723</v>
      </c>
      <c r="H97" s="65">
        <f t="shared" si="44"/>
        <v>36.075245023573608</v>
      </c>
      <c r="I97" s="66" t="s">
        <v>32</v>
      </c>
      <c r="J97" s="66" t="s">
        <v>107</v>
      </c>
      <c r="K97" s="67">
        <v>37</v>
      </c>
      <c r="L97" s="67" t="s">
        <v>35</v>
      </c>
      <c r="M97" s="68">
        <f>INDEX('WEG Motor'!$B$3:$AZ$55,
       MATCH(K97,'WEG Motor'!$A$3:$A$55,0),
       MATCH(L97,'WEG Motor'!$B$2:$AZ$2,0))%</f>
        <v>0.93900000000000006</v>
      </c>
      <c r="N97" s="69">
        <v>0.92</v>
      </c>
      <c r="O97" s="70">
        <v>0.86860000000000004</v>
      </c>
      <c r="P97" s="117">
        <v>3.97</v>
      </c>
      <c r="Q97" s="72">
        <f>ROUNDUP(H97/(C92/10^3),2)</f>
        <v>300.63</v>
      </c>
      <c r="R97" s="303"/>
      <c r="S97" s="73"/>
      <c r="T97" s="80"/>
      <c r="U97" s="74">
        <f>R92*(C92/10^3)</f>
        <v>36.119999999999997</v>
      </c>
    </row>
    <row r="98" spans="1:29" x14ac:dyDescent="0.3">
      <c r="A98" s="298">
        <v>16</v>
      </c>
      <c r="B98" s="301">
        <v>1050</v>
      </c>
      <c r="C98" s="304">
        <f t="shared" ref="C98" si="45" xml:space="preserve"> ROUND((B98 * $AA$6 * 1000) / ($X$5*$AA$2*$AA$3), 0)</f>
        <v>126</v>
      </c>
      <c r="D98" s="50">
        <f>IFERROR(ROUNDUP((U98*$X$3*1000*$X$4*$X$2)/((C98/10^3)*$X$5*$AA$4),2),"")</f>
        <v>21.240000000000002</v>
      </c>
      <c r="E98" s="51">
        <v>22</v>
      </c>
      <c r="F98" s="52">
        <f>((($X$5*$AA$4*(C98*0.001)*E98)/1000)/O98)</f>
        <v>32.747937207419895</v>
      </c>
      <c r="G98" s="52">
        <f>F98/M98</f>
        <v>34.875332489265062</v>
      </c>
      <c r="H98" s="52">
        <f>G98/N98</f>
        <v>37.907970097027238</v>
      </c>
      <c r="I98" s="53" t="s">
        <v>14</v>
      </c>
      <c r="J98" s="53" t="s">
        <v>69</v>
      </c>
      <c r="K98" s="54">
        <v>37</v>
      </c>
      <c r="L98" s="54" t="s">
        <v>35</v>
      </c>
      <c r="M98" s="55">
        <f>INDEX('WEG Motor'!$B$3:$AZ$55,
       MATCH(K98,'WEG Motor'!$A$3:$A$55,0),
       MATCH(L98,'WEG Motor'!$B$2:$AZ$2,0))%</f>
        <v>0.93900000000000006</v>
      </c>
      <c r="N98" s="56">
        <v>0.92</v>
      </c>
      <c r="O98" s="57">
        <v>0.83020000000000005</v>
      </c>
      <c r="P98" s="75">
        <v>4.88</v>
      </c>
      <c r="Q98" s="59">
        <f>ROUNDUP(H98/(C98/10^3),2)</f>
        <v>300.86</v>
      </c>
      <c r="R98" s="301">
        <v>301</v>
      </c>
      <c r="S98" s="60"/>
      <c r="T98" s="78"/>
      <c r="U98" s="61">
        <f>R98*(C98/10^3)</f>
        <v>37.926000000000002</v>
      </c>
      <c r="W98" s="1" t="s">
        <v>17</v>
      </c>
      <c r="X98" s="3">
        <v>0.92</v>
      </c>
      <c r="Z98" s="1" t="s">
        <v>23</v>
      </c>
      <c r="AA98" s="1">
        <v>7</v>
      </c>
      <c r="AC98" s="4" t="s">
        <v>38</v>
      </c>
    </row>
    <row r="99" spans="1:29" x14ac:dyDescent="0.3">
      <c r="A99" s="299"/>
      <c r="B99" s="302"/>
      <c r="C99" s="305"/>
      <c r="D99" s="18">
        <f>IFERROR(ROUNDUP((U99*$X$3*1000*$X$4*$X$2)/((C98/10^3)*$X$5*$AA$4),2),"")</f>
        <v>21.240000000000002</v>
      </c>
      <c r="E99" s="19">
        <v>22.5</v>
      </c>
      <c r="F99" s="21">
        <f>((($X$5*$AA$4*(C98*0.001)*E99)/1000)/O99)</f>
        <v>32.193159086488357</v>
      </c>
      <c r="G99" s="21">
        <f t="shared" ref="G99:G103" si="46">F99/M99</f>
        <v>34.284514469103677</v>
      </c>
      <c r="H99" s="21">
        <f t="shared" ref="H99:H103" si="47">G99/N99</f>
        <v>37.265776596851822</v>
      </c>
      <c r="I99" s="88" t="s">
        <v>15</v>
      </c>
      <c r="J99" s="88" t="s">
        <v>63</v>
      </c>
      <c r="K99" s="89">
        <v>37</v>
      </c>
      <c r="L99" s="89" t="s">
        <v>35</v>
      </c>
      <c r="M99" s="90">
        <f>INDEX('WEG Motor'!$B$3:$AZ$55,
       MATCH(K99,'WEG Motor'!$A$3:$A$55,0),
       MATCH(L99,'WEG Motor'!$B$2:$AZ$2,0))%</f>
        <v>0.93900000000000006</v>
      </c>
      <c r="N99" s="91">
        <v>0.92</v>
      </c>
      <c r="O99" s="92">
        <v>0.86370000000000002</v>
      </c>
      <c r="P99" s="93">
        <v>4.1619999999999999</v>
      </c>
      <c r="Q99" s="96">
        <f>ROUNDUP(H99/(C98/10^3),2)</f>
        <v>295.77</v>
      </c>
      <c r="R99" s="302"/>
      <c r="S99" s="5"/>
      <c r="T99" s="133"/>
      <c r="U99" s="111">
        <f>R98*(C98/10^3)</f>
        <v>37.926000000000002</v>
      </c>
      <c r="W99" s="1" t="s">
        <v>19</v>
      </c>
      <c r="X99" s="3">
        <v>0.94</v>
      </c>
      <c r="Z99" s="1" t="s">
        <v>24</v>
      </c>
      <c r="AA99" s="1">
        <v>4.1859999999999999</v>
      </c>
    </row>
    <row r="100" spans="1:29" x14ac:dyDescent="0.3">
      <c r="A100" s="299"/>
      <c r="B100" s="302"/>
      <c r="C100" s="305"/>
      <c r="D100" s="18">
        <f>IFERROR(ROUNDUP((U100*$X$3*1000*$X$4*$X$2)/((C98/10^3)*$X$5*$AA$4),2),"")</f>
        <v>21.240000000000002</v>
      </c>
      <c r="E100" s="19">
        <v>22.5</v>
      </c>
      <c r="F100" s="21">
        <f>((($X$5*$AA$4*(C98*0.001)*E100)/1000)/O100)</f>
        <v>32.193159086488357</v>
      </c>
      <c r="G100" s="21">
        <f t="shared" si="46"/>
        <v>34.284514469103677</v>
      </c>
      <c r="H100" s="21">
        <f t="shared" si="47"/>
        <v>37.265776596851822</v>
      </c>
      <c r="I100" s="109" t="s">
        <v>16</v>
      </c>
      <c r="J100" s="109" t="s">
        <v>68</v>
      </c>
      <c r="K100" s="89">
        <v>37</v>
      </c>
      <c r="L100" s="89" t="s">
        <v>35</v>
      </c>
      <c r="M100" s="90">
        <f>INDEX('WEG Motor'!$B$3:$AZ$55,
       MATCH(K100,'WEG Motor'!$A$3:$A$55,0),
       MATCH(L100,'WEG Motor'!$B$2:$AZ$2,0))%</f>
        <v>0.93900000000000006</v>
      </c>
      <c r="N100" s="91">
        <v>0.92</v>
      </c>
      <c r="O100" s="92">
        <v>0.86370000000000002</v>
      </c>
      <c r="P100" s="95">
        <v>4.1619999999999999</v>
      </c>
      <c r="Q100" s="96">
        <f>ROUNDUP(H100/(C98/10^3),2)</f>
        <v>295.77</v>
      </c>
      <c r="R100" s="302"/>
      <c r="S100" s="5"/>
      <c r="T100" s="133"/>
      <c r="U100" s="111">
        <f>R98*(C98/10^3)</f>
        <v>37.926000000000002</v>
      </c>
      <c r="V100" s="10"/>
      <c r="W100" s="1" t="s">
        <v>27</v>
      </c>
      <c r="X100" s="3">
        <v>0.8</v>
      </c>
      <c r="Z100" s="1" t="s">
        <v>28</v>
      </c>
      <c r="AA100" s="1">
        <v>9.81</v>
      </c>
      <c r="AC100" s="2" t="s">
        <v>20</v>
      </c>
    </row>
    <row r="101" spans="1:29" x14ac:dyDescent="0.3">
      <c r="A101" s="299"/>
      <c r="B101" s="302"/>
      <c r="C101" s="305"/>
      <c r="D101" s="18">
        <f>IFERROR(ROUNDUP((U101*$X$3*1000*$X$4*$X$2)/((C98/10^3)*$X$5*$AA$4),2),"")</f>
        <v>21.240000000000002</v>
      </c>
      <c r="E101" s="19">
        <v>21.5</v>
      </c>
      <c r="F101" s="21">
        <f>((($X$5*$AA$4*(C98*0.001)*E101)/1000)/O101)</f>
        <v>32.108088744652569</v>
      </c>
      <c r="G101" s="21">
        <f t="shared" si="46"/>
        <v>34.193917725934575</v>
      </c>
      <c r="H101" s="21">
        <f t="shared" si="47"/>
        <v>37.167301876015841</v>
      </c>
      <c r="I101" s="25" t="s">
        <v>30</v>
      </c>
      <c r="J101" s="25" t="s">
        <v>62</v>
      </c>
      <c r="K101" s="7">
        <v>37</v>
      </c>
      <c r="L101" s="7" t="s">
        <v>35</v>
      </c>
      <c r="M101" s="11">
        <f>INDEX('WEG Motor'!$B$3:$AZ$55,
       MATCH(K101,'WEG Motor'!$A$3:$A$55,0),
       MATCH(L101,'WEG Motor'!$B$2:$AZ$2,0))%</f>
        <v>0.93900000000000006</v>
      </c>
      <c r="N101" s="9">
        <v>0.92</v>
      </c>
      <c r="O101" s="6">
        <v>0.82750000000000001</v>
      </c>
      <c r="P101" s="8">
        <v>4.851</v>
      </c>
      <c r="Q101" s="20">
        <f>ROUNDUP(H101/(C98/10^3),2)</f>
        <v>294.98</v>
      </c>
      <c r="R101" s="302"/>
      <c r="S101" s="5"/>
      <c r="T101" s="79"/>
      <c r="U101" s="62">
        <f>R98*(C98/10^3)</f>
        <v>37.926000000000002</v>
      </c>
      <c r="V101" s="10"/>
      <c r="W101" s="1" t="s">
        <v>22</v>
      </c>
      <c r="X101" s="1">
        <v>999.78</v>
      </c>
      <c r="Z101" s="1" t="s">
        <v>25</v>
      </c>
      <c r="AA101" s="1" t="s">
        <v>26</v>
      </c>
      <c r="AC101" s="2"/>
    </row>
    <row r="102" spans="1:29" x14ac:dyDescent="0.3">
      <c r="A102" s="299"/>
      <c r="B102" s="302"/>
      <c r="C102" s="305"/>
      <c r="D102" s="18">
        <f>IFERROR(ROUNDUP((U102*$X$3*1000*$X$4*$X$2)/((C98/10^3)*$X$5*$AA$4),2),"")</f>
        <v>21.240000000000002</v>
      </c>
      <c r="E102" s="19">
        <v>23</v>
      </c>
      <c r="F102" s="21">
        <f>((($X$5*$AA$4*(C98*0.001)*E102)/1000)/O102)</f>
        <v>32.768187152870652</v>
      </c>
      <c r="G102" s="21">
        <f t="shared" si="46"/>
        <v>34.896897926379822</v>
      </c>
      <c r="H102" s="21">
        <f t="shared" si="47"/>
        <v>37.931410789543285</v>
      </c>
      <c r="I102" s="12" t="s">
        <v>18</v>
      </c>
      <c r="J102" s="12" t="s">
        <v>106</v>
      </c>
      <c r="K102" s="7">
        <v>37</v>
      </c>
      <c r="L102" s="7" t="s">
        <v>35</v>
      </c>
      <c r="M102" s="11">
        <f>INDEX('WEG Motor'!$B$3:$AZ$55,
       MATCH(K102,'WEG Motor'!$A$3:$A$55,0),
       MATCH(L102,'WEG Motor'!$B$2:$AZ$2,0))%</f>
        <v>0.93900000000000006</v>
      </c>
      <c r="N102" s="9">
        <v>0.92</v>
      </c>
      <c r="O102" s="6">
        <v>0.86739999999999995</v>
      </c>
      <c r="P102" s="76">
        <v>4.17</v>
      </c>
      <c r="Q102" s="20">
        <f>ROUNDUP(H102/(C98/10^3),2)</f>
        <v>301.05</v>
      </c>
      <c r="R102" s="302"/>
      <c r="S102" s="5"/>
      <c r="T102" s="79"/>
      <c r="U102" s="62">
        <f>R98*(C98/10^3)</f>
        <v>37.926000000000002</v>
      </c>
      <c r="V102" s="10"/>
      <c r="Z102" s="1">
        <v>1</v>
      </c>
      <c r="AA102" s="1">
        <v>3.5169999999999999</v>
      </c>
      <c r="AC102" s="2" t="s">
        <v>21</v>
      </c>
    </row>
    <row r="103" spans="1:29" ht="15" thickBot="1" x14ac:dyDescent="0.35">
      <c r="A103" s="300"/>
      <c r="B103" s="303"/>
      <c r="C103" s="306"/>
      <c r="D103" s="63">
        <f>IFERROR(ROUNDUP((U103*$X$3*1000*$X$4*$X$2)/((C98/10^3)*$X$5*$AA$4),2),"")</f>
        <v>21.240000000000002</v>
      </c>
      <c r="E103" s="19">
        <v>23</v>
      </c>
      <c r="F103" s="65">
        <f>((($X$5*$AA$4*(C98*0.001)*E103)/1000)/O103)</f>
        <v>32.768187152870652</v>
      </c>
      <c r="G103" s="65">
        <f t="shared" si="46"/>
        <v>34.896897926379822</v>
      </c>
      <c r="H103" s="65">
        <f t="shared" si="47"/>
        <v>37.931410789543285</v>
      </c>
      <c r="I103" s="66" t="s">
        <v>32</v>
      </c>
      <c r="J103" s="66" t="s">
        <v>107</v>
      </c>
      <c r="K103" s="67">
        <v>37</v>
      </c>
      <c r="L103" s="67" t="s">
        <v>35</v>
      </c>
      <c r="M103" s="68">
        <f>INDEX('WEG Motor'!$B$3:$AZ$55,
       MATCH(K103,'WEG Motor'!$A$3:$A$55,0),
       MATCH(L103,'WEG Motor'!$B$2:$AZ$2,0))%</f>
        <v>0.93900000000000006</v>
      </c>
      <c r="N103" s="69">
        <v>0.92</v>
      </c>
      <c r="O103" s="70">
        <v>0.86739999999999995</v>
      </c>
      <c r="P103" s="117">
        <v>4.17</v>
      </c>
      <c r="Q103" s="72">
        <f>ROUNDUP(H103/(C98/10^3),2)</f>
        <v>301.05</v>
      </c>
      <c r="R103" s="303"/>
      <c r="S103" s="73"/>
      <c r="T103" s="80"/>
      <c r="U103" s="74">
        <f>R98*(C98/10^3)</f>
        <v>37.926000000000002</v>
      </c>
    </row>
    <row r="104" spans="1:29" x14ac:dyDescent="0.3">
      <c r="A104" s="298">
        <v>17</v>
      </c>
      <c r="B104" s="301">
        <v>1100</v>
      </c>
      <c r="C104" s="304">
        <f t="shared" ref="C104" si="48" xml:space="preserve"> ROUND((B104 * $AA$6 * 1000) / ($X$5*$AA$2*$AA$3), 0)</f>
        <v>132</v>
      </c>
      <c r="D104" s="50">
        <f>IFERROR(ROUNDUP((U104*$X$3*1000*$X$4*$X$2)/((C104/10^3)*$X$5*$AA$4),2),"")</f>
        <v>21.240000000000002</v>
      </c>
      <c r="E104" s="51">
        <v>21.5</v>
      </c>
      <c r="F104" s="52">
        <f>((($X$5*$AA$4*(C104*0.001)*E104)/1000)/O104)</f>
        <v>33.886845663988311</v>
      </c>
      <c r="G104" s="52">
        <f>F104/M104</f>
        <v>36.088227544183503</v>
      </c>
      <c r="H104" s="52">
        <f>G104/N104</f>
        <v>39.226334287155979</v>
      </c>
      <c r="I104" s="53" t="s">
        <v>14</v>
      </c>
      <c r="J104" s="53" t="s">
        <v>69</v>
      </c>
      <c r="K104" s="54">
        <v>37</v>
      </c>
      <c r="L104" s="54" t="s">
        <v>35</v>
      </c>
      <c r="M104" s="55">
        <f>INDEX('WEG Motor'!$B$3:$AZ$55,
       MATCH(K104,'WEG Motor'!$A$3:$A$55,0),
       MATCH(L104,'WEG Motor'!$B$2:$AZ$2,0))%</f>
        <v>0.93900000000000006</v>
      </c>
      <c r="N104" s="56">
        <v>0.92</v>
      </c>
      <c r="O104" s="57">
        <v>0.82140000000000002</v>
      </c>
      <c r="P104" s="75">
        <v>5.3129999999999997</v>
      </c>
      <c r="Q104" s="59">
        <f>ROUNDUP(H104/(C104/10^3),2)</f>
        <v>297.17</v>
      </c>
      <c r="R104" s="301">
        <v>301</v>
      </c>
      <c r="S104" s="60"/>
      <c r="T104" s="78"/>
      <c r="U104" s="61">
        <f>R104*(C104/10^3)</f>
        <v>39.731999999999999</v>
      </c>
      <c r="W104" s="1" t="s">
        <v>17</v>
      </c>
      <c r="X104" s="3">
        <v>0.92</v>
      </c>
      <c r="Z104" s="1" t="s">
        <v>23</v>
      </c>
      <c r="AA104" s="1">
        <v>7</v>
      </c>
      <c r="AC104" s="4" t="s">
        <v>38</v>
      </c>
    </row>
    <row r="105" spans="1:29" x14ac:dyDescent="0.3">
      <c r="A105" s="299"/>
      <c r="B105" s="302"/>
      <c r="C105" s="305"/>
      <c r="D105" s="18">
        <f>IFERROR(ROUNDUP((U105*$X$3*1000*$X$4*$X$2)/((C104/10^3)*$X$5*$AA$4),2),"")</f>
        <v>21.240000000000002</v>
      </c>
      <c r="E105" s="19">
        <v>22.5</v>
      </c>
      <c r="F105" s="21">
        <f>((($X$5*$AA$4*(C104*0.001)*E105)/1000)/O105)</f>
        <v>33.910698656577416</v>
      </c>
      <c r="G105" s="21">
        <f t="shared" ref="G105:G109" si="49">F105/M105</f>
        <v>36.113630092201717</v>
      </c>
      <c r="H105" s="21">
        <f t="shared" ref="H105:H109" si="50">G105/N105</f>
        <v>39.253945752393172</v>
      </c>
      <c r="I105" s="88" t="s">
        <v>15</v>
      </c>
      <c r="J105" s="88" t="s">
        <v>63</v>
      </c>
      <c r="K105" s="89">
        <v>37</v>
      </c>
      <c r="L105" s="89" t="s">
        <v>35</v>
      </c>
      <c r="M105" s="90">
        <f>INDEX('WEG Motor'!$B$3:$AZ$55,
       MATCH(K105,'WEG Motor'!$A$3:$A$55,0),
       MATCH(L105,'WEG Motor'!$B$2:$AZ$2,0))%</f>
        <v>0.93900000000000006</v>
      </c>
      <c r="N105" s="91">
        <v>0.92</v>
      </c>
      <c r="O105" s="92">
        <v>0.85899999999999999</v>
      </c>
      <c r="P105" s="93">
        <v>4.5170000000000003</v>
      </c>
      <c r="Q105" s="96">
        <f>ROUNDUP(H105/(C104/10^3),2)</f>
        <v>297.38</v>
      </c>
      <c r="R105" s="302"/>
      <c r="S105" s="5"/>
      <c r="T105" s="133"/>
      <c r="U105" s="111">
        <f>R104*(C104/10^3)</f>
        <v>39.731999999999999</v>
      </c>
      <c r="W105" s="1" t="s">
        <v>19</v>
      </c>
      <c r="X105" s="3">
        <v>0.94</v>
      </c>
      <c r="Z105" s="1" t="s">
        <v>24</v>
      </c>
      <c r="AA105" s="1">
        <v>4.1859999999999999</v>
      </c>
    </row>
    <row r="106" spans="1:29" x14ac:dyDescent="0.3">
      <c r="A106" s="299"/>
      <c r="B106" s="302"/>
      <c r="C106" s="305"/>
      <c r="D106" s="18">
        <f>IFERROR(ROUNDUP((U106*$X$3*1000*$X$4*$X$2)/((C104/10^3)*$X$5*$AA$4),2),"")</f>
        <v>21.240000000000002</v>
      </c>
      <c r="E106" s="19">
        <v>22.5</v>
      </c>
      <c r="F106" s="21">
        <f>((($X$5*$AA$4*(C104*0.001)*E106)/1000)/O106)</f>
        <v>33.910698656577416</v>
      </c>
      <c r="G106" s="21">
        <f t="shared" si="49"/>
        <v>36.113630092201717</v>
      </c>
      <c r="H106" s="21">
        <f t="shared" si="50"/>
        <v>39.253945752393172</v>
      </c>
      <c r="I106" s="109" t="s">
        <v>16</v>
      </c>
      <c r="J106" s="109" t="s">
        <v>70</v>
      </c>
      <c r="K106" s="89">
        <v>37</v>
      </c>
      <c r="L106" s="89" t="s">
        <v>35</v>
      </c>
      <c r="M106" s="90">
        <f>INDEX('WEG Motor'!$B$3:$AZ$55,
       MATCH(K106,'WEG Motor'!$A$3:$A$55,0),
       MATCH(L106,'WEG Motor'!$B$2:$AZ$2,0))%</f>
        <v>0.93900000000000006</v>
      </c>
      <c r="N106" s="91">
        <v>0.92</v>
      </c>
      <c r="O106" s="92">
        <v>0.85899999999999999</v>
      </c>
      <c r="P106" s="95">
        <v>4.5170000000000003</v>
      </c>
      <c r="Q106" s="96">
        <f>ROUNDUP(H106/(C104/10^3),2)</f>
        <v>297.38</v>
      </c>
      <c r="R106" s="302"/>
      <c r="S106" s="5"/>
      <c r="T106" s="133"/>
      <c r="U106" s="111">
        <f>R104*(C104/10^3)</f>
        <v>39.731999999999999</v>
      </c>
      <c r="V106" s="10"/>
      <c r="W106" s="1" t="s">
        <v>27</v>
      </c>
      <c r="X106" s="3">
        <v>0.8</v>
      </c>
      <c r="Z106" s="1" t="s">
        <v>28</v>
      </c>
      <c r="AA106" s="1">
        <v>9.81</v>
      </c>
      <c r="AC106" s="2" t="s">
        <v>20</v>
      </c>
    </row>
    <row r="107" spans="1:29" x14ac:dyDescent="0.3">
      <c r="A107" s="299"/>
      <c r="B107" s="302"/>
      <c r="C107" s="305"/>
      <c r="D107" s="18">
        <f>IFERROR(ROUNDUP((U107*$X$3*1000*$X$4*$X$2)/((C104/10^3)*$X$5*$AA$4),2),"")</f>
        <v>21.240000000000002</v>
      </c>
      <c r="E107" s="19">
        <v>21.5</v>
      </c>
      <c r="F107" s="21">
        <f>((($X$5*$AA$4*(C104*0.001)*E107)/1000)/O107)</f>
        <v>33.91161675</v>
      </c>
      <c r="G107" s="21">
        <f t="shared" si="49"/>
        <v>36.114607827476036</v>
      </c>
      <c r="H107" s="21">
        <f t="shared" si="50"/>
        <v>39.255008508126124</v>
      </c>
      <c r="I107" s="25" t="s">
        <v>30</v>
      </c>
      <c r="J107" s="25" t="s">
        <v>62</v>
      </c>
      <c r="K107" s="7">
        <v>37</v>
      </c>
      <c r="L107" s="7" t="s">
        <v>35</v>
      </c>
      <c r="M107" s="11">
        <f>INDEX('WEG Motor'!$B$3:$AZ$55,
       MATCH(K107,'WEG Motor'!$A$3:$A$55,0),
       MATCH(L107,'WEG Motor'!$B$2:$AZ$2,0))%</f>
        <v>0.93900000000000006</v>
      </c>
      <c r="N107" s="9">
        <v>0.92</v>
      </c>
      <c r="O107" s="6">
        <v>0.82079999999999997</v>
      </c>
      <c r="P107" s="8">
        <v>5.2939999999999996</v>
      </c>
      <c r="Q107" s="20">
        <f>ROUNDUP(H107/(C104/10^3),2)</f>
        <v>297.39</v>
      </c>
      <c r="R107" s="302"/>
      <c r="S107" s="5"/>
      <c r="T107" s="79"/>
      <c r="U107" s="62">
        <f>R104*(C104/10^3)</f>
        <v>39.731999999999999</v>
      </c>
      <c r="V107" s="10"/>
      <c r="W107" s="1" t="s">
        <v>22</v>
      </c>
      <c r="X107" s="1">
        <v>999.78</v>
      </c>
      <c r="Z107" s="1" t="s">
        <v>25</v>
      </c>
      <c r="AA107" s="1" t="s">
        <v>26</v>
      </c>
      <c r="AC107" s="2"/>
    </row>
    <row r="108" spans="1:29" x14ac:dyDescent="0.3">
      <c r="A108" s="299"/>
      <c r="B108" s="302"/>
      <c r="C108" s="305"/>
      <c r="D108" s="18">
        <f>IFERROR(ROUNDUP((U108*$X$3*1000*$X$4*$X$2)/((C104/10^3)*$X$5*$AA$4),2),"")</f>
        <v>21.240000000000002</v>
      </c>
      <c r="E108" s="19">
        <v>22.5</v>
      </c>
      <c r="F108" s="21">
        <f>((($X$5*$AA$4*(C104*0.001)*E108)/1000)/O108)</f>
        <v>33.843720397350992</v>
      </c>
      <c r="G108" s="21">
        <f t="shared" si="49"/>
        <v>36.042300742652813</v>
      </c>
      <c r="H108" s="21">
        <f t="shared" si="50"/>
        <v>39.176413850709579</v>
      </c>
      <c r="I108" s="12" t="s">
        <v>18</v>
      </c>
      <c r="J108" s="12" t="s">
        <v>106</v>
      </c>
      <c r="K108" s="7">
        <v>37</v>
      </c>
      <c r="L108" s="7" t="s">
        <v>35</v>
      </c>
      <c r="M108" s="11">
        <f>INDEX('WEG Motor'!$B$3:$AZ$55,
       MATCH(K108,'WEG Motor'!$A$3:$A$55,0),
       MATCH(L108,'WEG Motor'!$B$2:$AZ$2,0))%</f>
        <v>0.93900000000000006</v>
      </c>
      <c r="N108" s="9">
        <v>0.92</v>
      </c>
      <c r="O108" s="6">
        <v>0.86070000000000002</v>
      </c>
      <c r="P108" s="76">
        <v>4.41</v>
      </c>
      <c r="Q108" s="37">
        <f>ROUNDUP(H108/(C104/10^3),2)</f>
        <v>296.8</v>
      </c>
      <c r="R108" s="302"/>
      <c r="S108" s="5"/>
      <c r="T108" s="79"/>
      <c r="U108" s="62">
        <f>R104*(C104/10^3)</f>
        <v>39.731999999999999</v>
      </c>
      <c r="V108" s="10"/>
      <c r="Z108" s="1">
        <v>1</v>
      </c>
      <c r="AA108" s="1">
        <v>3.5169999999999999</v>
      </c>
      <c r="AC108" s="2" t="s">
        <v>21</v>
      </c>
    </row>
    <row r="109" spans="1:29" ht="15" thickBot="1" x14ac:dyDescent="0.35">
      <c r="A109" s="300"/>
      <c r="B109" s="303"/>
      <c r="C109" s="306"/>
      <c r="D109" s="63">
        <f>IFERROR(ROUNDUP((U109*$X$3*1000*$X$4*$X$2)/((C104/10^3)*$X$5*$AA$4),2),"")</f>
        <v>21.240000000000002</v>
      </c>
      <c r="E109" s="64">
        <v>22.5</v>
      </c>
      <c r="F109" s="65">
        <f>((($X$5*$AA$4*(C104*0.001)*E109)/1000)/O109)</f>
        <v>33.843720397350992</v>
      </c>
      <c r="G109" s="65">
        <f t="shared" si="49"/>
        <v>36.042300742652813</v>
      </c>
      <c r="H109" s="65">
        <f t="shared" si="50"/>
        <v>39.176413850709579</v>
      </c>
      <c r="I109" s="66" t="s">
        <v>32</v>
      </c>
      <c r="J109" s="66" t="s">
        <v>107</v>
      </c>
      <c r="K109" s="67">
        <v>37</v>
      </c>
      <c r="L109" s="67" t="s">
        <v>35</v>
      </c>
      <c r="M109" s="68">
        <f>INDEX('WEG Motor'!$B$3:$AZ$55,
       MATCH(K109,'WEG Motor'!$A$3:$A$55,0),
       MATCH(L109,'WEG Motor'!$B$2:$AZ$2,0))%</f>
        <v>0.93900000000000006</v>
      </c>
      <c r="N109" s="69">
        <v>0.92</v>
      </c>
      <c r="O109" s="70">
        <v>0.86070000000000002</v>
      </c>
      <c r="P109" s="117">
        <v>4.41</v>
      </c>
      <c r="Q109" s="121">
        <f>ROUNDUP(H109/(C104/10^3),2)</f>
        <v>296.8</v>
      </c>
      <c r="R109" s="303"/>
      <c r="S109" s="73"/>
      <c r="T109" s="80"/>
      <c r="U109" s="74">
        <f>R104*(C104/10^3)</f>
        <v>39.731999999999999</v>
      </c>
    </row>
    <row r="110" spans="1:29" ht="28.8" x14ac:dyDescent="0.3">
      <c r="A110" s="298">
        <v>18</v>
      </c>
      <c r="B110" s="301">
        <v>1150</v>
      </c>
      <c r="C110" s="304">
        <f t="shared" ref="C110" si="51" xml:space="preserve"> ROUND((B110 * $AA$6 * 1000) / ($X$5*$AA$2*$AA$3), 0)</f>
        <v>138</v>
      </c>
      <c r="D110" s="50">
        <f>IFERROR(ROUNDUP((U110*$X$3*1000*$X$4*$X$2)/((C110/10^3)*$X$5*$AA$4),2),"")</f>
        <v>21.240000000000002</v>
      </c>
      <c r="E110" s="51">
        <v>21.5</v>
      </c>
      <c r="F110" s="52">
        <f>((($X$5*$AA$4*(C110*0.001)*E110)/1000)/O110)</f>
        <v>35.766797714601772</v>
      </c>
      <c r="G110" s="52">
        <f>F110/M110</f>
        <v>38.0903064053267</v>
      </c>
      <c r="H110" s="52">
        <f>G110/N110</f>
        <v>41.402506962311627</v>
      </c>
      <c r="I110" s="99" t="s">
        <v>14</v>
      </c>
      <c r="J110" s="99" t="s">
        <v>69</v>
      </c>
      <c r="K110" s="101">
        <v>37</v>
      </c>
      <c r="L110" s="101" t="s">
        <v>35</v>
      </c>
      <c r="M110" s="102">
        <f>INDEX('WEG Motor'!$B$3:$AZ$55,
       MATCH(K110,'WEG Motor'!$A$3:$A$55,0),
       MATCH(L110,'WEG Motor'!$B$2:$AZ$2,0))%</f>
        <v>0.93900000000000006</v>
      </c>
      <c r="N110" s="103">
        <v>0.92</v>
      </c>
      <c r="O110" s="104">
        <v>0.81359999999999999</v>
      </c>
      <c r="P110" s="115">
        <v>5.8029999999999999</v>
      </c>
      <c r="Q110" s="106">
        <f>ROUNDUP(H110/(C110/10^3),2)</f>
        <v>300.02</v>
      </c>
      <c r="R110" s="301">
        <v>301</v>
      </c>
      <c r="S110" s="60"/>
      <c r="T110" s="114" t="s">
        <v>93</v>
      </c>
      <c r="U110" s="110">
        <f>R110*(C110/10^3)</f>
        <v>41.538000000000004</v>
      </c>
      <c r="W110" s="1" t="s">
        <v>17</v>
      </c>
      <c r="X110" s="3">
        <v>0.92</v>
      </c>
      <c r="Z110" s="1" t="s">
        <v>23</v>
      </c>
      <c r="AA110" s="1">
        <v>7</v>
      </c>
      <c r="AC110" s="4" t="s">
        <v>38</v>
      </c>
    </row>
    <row r="111" spans="1:29" x14ac:dyDescent="0.3">
      <c r="A111" s="299"/>
      <c r="B111" s="302"/>
      <c r="C111" s="305"/>
      <c r="D111" s="18">
        <f>IFERROR(ROUNDUP((U111*$X$3*1000*$X$4*$X$2)/((C110/10^3)*$X$5*$AA$4),2),"")</f>
        <v>21.240000000000002</v>
      </c>
      <c r="E111" s="19">
        <v>22.5</v>
      </c>
      <c r="F111" s="21">
        <f>((($X$5*$AA$4*(C110*0.001)*E111)/1000)/O111)</f>
        <v>35.705649887442846</v>
      </c>
      <c r="G111" s="21">
        <f t="shared" ref="G111:G115" si="52">F111/M111</f>
        <v>38.02518624860793</v>
      </c>
      <c r="H111" s="21">
        <f t="shared" ref="H111:H115" si="53">G111/N111</f>
        <v>41.331724183269486</v>
      </c>
      <c r="I111" s="94" t="s">
        <v>15</v>
      </c>
      <c r="J111" s="88" t="s">
        <v>63</v>
      </c>
      <c r="K111" s="89">
        <v>37</v>
      </c>
      <c r="L111" s="89" t="s">
        <v>35</v>
      </c>
      <c r="M111" s="90">
        <f>INDEX('WEG Motor'!$B$3:$AZ$55,
       MATCH(K111,'WEG Motor'!$A$3:$A$55,0),
       MATCH(L111,'WEG Motor'!$B$2:$AZ$2,0))%</f>
        <v>0.93900000000000006</v>
      </c>
      <c r="N111" s="91">
        <v>0.92</v>
      </c>
      <c r="O111" s="92">
        <v>0.85289999999999999</v>
      </c>
      <c r="P111" s="93">
        <v>4.9550000000000001</v>
      </c>
      <c r="Q111" s="96">
        <f>ROUNDUP(H111/(C110/10^3),2)</f>
        <v>299.51</v>
      </c>
      <c r="R111" s="302"/>
      <c r="S111" s="5"/>
      <c r="T111" s="133"/>
      <c r="U111" s="111">
        <f>R110*(C110/10^3)</f>
        <v>41.538000000000004</v>
      </c>
      <c r="W111" s="1" t="s">
        <v>19</v>
      </c>
      <c r="X111" s="3">
        <v>0.94</v>
      </c>
      <c r="Z111" s="1" t="s">
        <v>24</v>
      </c>
      <c r="AA111" s="1">
        <v>4.1859999999999999</v>
      </c>
    </row>
    <row r="112" spans="1:29" ht="58.2" thickBot="1" x14ac:dyDescent="0.35">
      <c r="A112" s="299"/>
      <c r="B112" s="302"/>
      <c r="C112" s="305"/>
      <c r="D112" s="18">
        <f>IFERROR(ROUNDUP((U112*$X$3*1000*$X$4*$X$2)/((C110/10^3)*$X$5*$AA$4),2),"")</f>
        <v>21.240000000000002</v>
      </c>
      <c r="E112" s="19">
        <v>22</v>
      </c>
      <c r="F112" s="21">
        <f>((($X$5*$AA$4*(C110*0.001)*E112)/1000)/O112)</f>
        <v>35.832259572563181</v>
      </c>
      <c r="G112" s="21">
        <f t="shared" si="52"/>
        <v>38.038492115247536</v>
      </c>
      <c r="H112" s="21">
        <f t="shared" si="53"/>
        <v>41.346187081790795</v>
      </c>
      <c r="I112" s="109" t="s">
        <v>16</v>
      </c>
      <c r="J112" s="109" t="s">
        <v>76</v>
      </c>
      <c r="K112" s="113">
        <v>45</v>
      </c>
      <c r="L112" s="89" t="s">
        <v>35</v>
      </c>
      <c r="M112" s="90">
        <f>INDEX('WEG Motor'!$B$3:$AZ$55,
       MATCH(K112,'WEG Motor'!$A$3:$A$55,0),
       MATCH(L112,'WEG Motor'!$B$2:$AZ$2,0))%</f>
        <v>0.94200000000000006</v>
      </c>
      <c r="N112" s="91">
        <v>0.92</v>
      </c>
      <c r="O112" s="92">
        <v>0.83099999999999996</v>
      </c>
      <c r="P112" s="95">
        <v>3.3420000000000001</v>
      </c>
      <c r="Q112" s="96">
        <f>ROUNDUP(H112/(C110/10^3),2)</f>
        <v>299.62</v>
      </c>
      <c r="R112" s="302"/>
      <c r="S112" s="5"/>
      <c r="T112" s="134" t="s">
        <v>91</v>
      </c>
      <c r="U112" s="111">
        <f>R110*(C110/10^3)</f>
        <v>41.538000000000004</v>
      </c>
      <c r="V112" s="10"/>
      <c r="W112" s="1" t="s">
        <v>27</v>
      </c>
      <c r="X112" s="3">
        <v>0.8</v>
      </c>
      <c r="Z112" s="1" t="s">
        <v>28</v>
      </c>
      <c r="AA112" s="1">
        <v>9.81</v>
      </c>
      <c r="AC112" s="2" t="s">
        <v>20</v>
      </c>
    </row>
    <row r="113" spans="1:29" x14ac:dyDescent="0.3">
      <c r="A113" s="299"/>
      <c r="B113" s="302"/>
      <c r="C113" s="305"/>
      <c r="D113" s="18">
        <f>IFERROR(ROUNDUP((U113*$X$3*1000*$X$4*$X$2)/((C110/10^3)*$X$5*$AA$4),2),"")</f>
        <v>21.240000000000002</v>
      </c>
      <c r="E113" s="19">
        <v>21.5</v>
      </c>
      <c r="F113" s="21">
        <f>((($X$5*$AA$4*(C110*0.001)*E113)/1000)/O113)</f>
        <v>35.7711943707437</v>
      </c>
      <c r="G113" s="21">
        <f t="shared" si="52"/>
        <v>38.094988680238231</v>
      </c>
      <c r="H113" s="21">
        <f>G113/N113</f>
        <v>41.407596391563295</v>
      </c>
      <c r="I113" s="98" t="s">
        <v>30</v>
      </c>
      <c r="J113" s="98" t="s">
        <v>62</v>
      </c>
      <c r="K113" s="89">
        <v>37</v>
      </c>
      <c r="L113" s="89" t="s">
        <v>35</v>
      </c>
      <c r="M113" s="90">
        <f>INDEX('WEG Motor'!$B$3:$AZ$55,
       MATCH(K113,'WEG Motor'!$A$3:$A$55,0),
       MATCH(L113,'WEG Motor'!$B$2:$AZ$2,0))%</f>
        <v>0.93900000000000006</v>
      </c>
      <c r="N113" s="91">
        <v>0.92</v>
      </c>
      <c r="O113" s="92">
        <v>0.8135</v>
      </c>
      <c r="P113" s="95">
        <v>5.8029999999999999</v>
      </c>
      <c r="Q113" s="116">
        <f>ROUNDUP(H113/(C110/10^3),2)</f>
        <v>300.06</v>
      </c>
      <c r="R113" s="302"/>
      <c r="S113" s="5"/>
      <c r="T113" s="114" t="s">
        <v>92</v>
      </c>
      <c r="U113" s="111">
        <f>R110*(C110/10^3)</f>
        <v>41.538000000000004</v>
      </c>
      <c r="V113" s="10"/>
      <c r="W113" s="1" t="s">
        <v>22</v>
      </c>
      <c r="X113" s="1">
        <v>999.78</v>
      </c>
      <c r="Z113" s="1" t="s">
        <v>25</v>
      </c>
      <c r="AA113" s="1" t="s">
        <v>26</v>
      </c>
      <c r="AC113" s="2"/>
    </row>
    <row r="114" spans="1:29" x14ac:dyDescent="0.3">
      <c r="A114" s="299"/>
      <c r="B114" s="302"/>
      <c r="C114" s="305"/>
      <c r="D114" s="18">
        <f>IFERROR(ROUNDUP((U114*$X$3*1000*$X$4*$X$2)/((C110/10^3)*$X$5*$AA$4),2),"")</f>
        <v>21.240000000000002</v>
      </c>
      <c r="E114" s="19">
        <v>22.5</v>
      </c>
      <c r="F114" s="21">
        <f>((($X$5*$AA$4*(C110*0.001)*E114)/1000)/O114)</f>
        <v>35.714024614753143</v>
      </c>
      <c r="G114" s="21">
        <f t="shared" si="52"/>
        <v>38.03410502103636</v>
      </c>
      <c r="H114" s="21">
        <f t="shared" si="53"/>
        <v>41.341418501126476</v>
      </c>
      <c r="I114" s="12" t="s">
        <v>18</v>
      </c>
      <c r="J114" s="12" t="s">
        <v>106</v>
      </c>
      <c r="K114" s="7">
        <v>37</v>
      </c>
      <c r="L114" s="7" t="s">
        <v>35</v>
      </c>
      <c r="M114" s="11">
        <f>INDEX('WEG Motor'!$B$3:$AZ$55,
       MATCH(K114,'WEG Motor'!$A$3:$A$55,0),
       MATCH(L114,'WEG Motor'!$B$2:$AZ$2,0))%</f>
        <v>0.93900000000000006</v>
      </c>
      <c r="N114" s="9">
        <v>0.92</v>
      </c>
      <c r="O114" s="6">
        <v>0.85270000000000001</v>
      </c>
      <c r="P114" s="76">
        <v>4.6500000000000004</v>
      </c>
      <c r="Q114" s="20">
        <f>ROUNDUP(H114/(C110/10^3),2)</f>
        <v>299.58</v>
      </c>
      <c r="R114" s="302"/>
      <c r="S114" s="5"/>
      <c r="T114" s="79"/>
      <c r="U114" s="62">
        <f>R110*(C110/10^3)</f>
        <v>41.538000000000004</v>
      </c>
      <c r="V114" s="10"/>
      <c r="Z114" s="1">
        <v>1</v>
      </c>
      <c r="AA114" s="1">
        <v>3.5169999999999999</v>
      </c>
      <c r="AC114" s="2" t="s">
        <v>21</v>
      </c>
    </row>
    <row r="115" spans="1:29" ht="15" thickBot="1" x14ac:dyDescent="0.35">
      <c r="A115" s="300"/>
      <c r="B115" s="303"/>
      <c r="C115" s="306"/>
      <c r="D115" s="63">
        <f>IFERROR(ROUNDUP((U115*$X$3*1000*$X$4*$X$2)/((C110/10^3)*$X$5*$AA$4),2),"")</f>
        <v>21.240000000000002</v>
      </c>
      <c r="E115" s="19">
        <v>22.5</v>
      </c>
      <c r="F115" s="65">
        <f>((($X$5*$AA$4*(C110*0.001)*E115)/1000)/O115)</f>
        <v>35.714024614753143</v>
      </c>
      <c r="G115" s="65">
        <f t="shared" si="52"/>
        <v>38.03410502103636</v>
      </c>
      <c r="H115" s="65">
        <f t="shared" si="53"/>
        <v>41.341418501126476</v>
      </c>
      <c r="I115" s="66" t="s">
        <v>32</v>
      </c>
      <c r="J115" s="66" t="s">
        <v>107</v>
      </c>
      <c r="K115" s="67">
        <v>37</v>
      </c>
      <c r="L115" s="7" t="s">
        <v>35</v>
      </c>
      <c r="M115" s="68">
        <f>INDEX('WEG Motor'!$B$3:$AZ$55,
       MATCH(K115,'WEG Motor'!$A$3:$A$55,0),
       MATCH(L115,'WEG Motor'!$B$2:$AZ$2,0))%</f>
        <v>0.93900000000000006</v>
      </c>
      <c r="N115" s="69">
        <v>0.92</v>
      </c>
      <c r="O115" s="6">
        <v>0.85270000000000001</v>
      </c>
      <c r="P115" s="76">
        <v>4.6500000000000004</v>
      </c>
      <c r="Q115" s="72">
        <f>ROUNDUP(H115/(C110/10^3),2)</f>
        <v>299.58</v>
      </c>
      <c r="R115" s="303"/>
      <c r="S115" s="73"/>
      <c r="T115" s="80"/>
      <c r="U115" s="74">
        <f>R110*(C110/10^3)</f>
        <v>41.538000000000004</v>
      </c>
    </row>
    <row r="116" spans="1:29" ht="28.8" x14ac:dyDescent="0.3">
      <c r="A116" s="298">
        <v>19</v>
      </c>
      <c r="B116" s="301">
        <v>1200</v>
      </c>
      <c r="C116" s="304">
        <f t="shared" ref="C116" si="54" xml:space="preserve"> ROUND((B116 * $AA$6 * 1000) / ($X$5*$AA$2*$AA$3), 0)</f>
        <v>144</v>
      </c>
      <c r="D116" s="50">
        <f>IFERROR(ROUNDUP((U116*$X$3*1000*$X$4*$X$2)/((C116/10^3)*$X$5*$AA$4),2),"")</f>
        <v>21.240000000000002</v>
      </c>
      <c r="E116" s="51">
        <v>21</v>
      </c>
      <c r="F116" s="52">
        <f>((($X$5*$AA$4*(C116*0.001)*E116)/1000)/O116)</f>
        <v>36.94433682511211</v>
      </c>
      <c r="G116" s="52">
        <f>F116/M116</f>
        <v>39.219041215617949</v>
      </c>
      <c r="H116" s="52">
        <f>G116/N116</f>
        <v>42.629392625671684</v>
      </c>
      <c r="I116" s="99" t="s">
        <v>14</v>
      </c>
      <c r="J116" s="99" t="s">
        <v>71</v>
      </c>
      <c r="K116" s="101">
        <v>45</v>
      </c>
      <c r="L116" s="101" t="s">
        <v>35</v>
      </c>
      <c r="M116" s="102">
        <f>INDEX('WEG Motor'!$B$3:$AZ$55,
       MATCH(K116,'WEG Motor'!$A$3:$A$55,0),
       MATCH(L116,'WEG Motor'!$B$2:$AZ$2,0))%</f>
        <v>0.94200000000000006</v>
      </c>
      <c r="N116" s="103">
        <v>0.92</v>
      </c>
      <c r="O116" s="104">
        <v>0.80279999999999996</v>
      </c>
      <c r="P116" s="115">
        <v>6.74</v>
      </c>
      <c r="Q116" s="106">
        <f>ROUNDUP(H116/(C116/10^3),2)</f>
        <v>296.03999999999996</v>
      </c>
      <c r="R116" s="301">
        <v>301</v>
      </c>
      <c r="S116" s="60"/>
      <c r="T116" s="114" t="s">
        <v>93</v>
      </c>
      <c r="U116" s="110">
        <f>R116*(C116/10^3)</f>
        <v>43.343999999999994</v>
      </c>
      <c r="W116" s="1" t="s">
        <v>17</v>
      </c>
      <c r="X116" s="3">
        <v>0.92</v>
      </c>
      <c r="Z116" s="1" t="s">
        <v>23</v>
      </c>
      <c r="AA116" s="1">
        <v>7</v>
      </c>
      <c r="AC116" s="4" t="s">
        <v>38</v>
      </c>
    </row>
    <row r="117" spans="1:29" ht="28.8" x14ac:dyDescent="0.3">
      <c r="A117" s="299"/>
      <c r="B117" s="302"/>
      <c r="C117" s="305"/>
      <c r="D117" s="18">
        <f>IFERROR(ROUNDUP((U117*$X$3*1000*$X$4*$X$2)/((C116/10^3)*$X$5*$AA$4),2),"")</f>
        <v>21.240000000000002</v>
      </c>
      <c r="E117" s="19">
        <v>22.5</v>
      </c>
      <c r="F117" s="21">
        <f>((($X$5*$AA$4*(C116*0.001)*E117)/1000)/O117)</f>
        <v>37.539760699350268</v>
      </c>
      <c r="G117" s="21">
        <f t="shared" ref="G117:G121" si="55">F117/M117</f>
        <v>39.851126007802833</v>
      </c>
      <c r="H117" s="21">
        <f t="shared" ref="H117:H121" si="56">G117/N117</f>
        <v>43.316441312829163</v>
      </c>
      <c r="I117" s="88" t="s">
        <v>15</v>
      </c>
      <c r="J117" s="88" t="s">
        <v>64</v>
      </c>
      <c r="K117" s="89">
        <v>45</v>
      </c>
      <c r="L117" s="89" t="s">
        <v>35</v>
      </c>
      <c r="M117" s="90">
        <f>INDEX('WEG Motor'!$B$3:$AZ$55,
       MATCH(K117,'WEG Motor'!$A$3:$A$55,0),
       MATCH(L117,'WEG Motor'!$B$2:$AZ$2,0))%</f>
        <v>0.94200000000000006</v>
      </c>
      <c r="N117" s="91">
        <v>0.92</v>
      </c>
      <c r="O117" s="92">
        <v>0.84650000000000003</v>
      </c>
      <c r="P117" s="95">
        <v>5.4859999999999998</v>
      </c>
      <c r="Q117" s="96">
        <f>ROUNDUP(H117/(C116/10^3),2)</f>
        <v>300.81</v>
      </c>
      <c r="R117" s="302"/>
      <c r="S117" s="5"/>
      <c r="T117" s="112" t="s">
        <v>93</v>
      </c>
      <c r="U117" s="111">
        <f>R116*(C116/10^3)</f>
        <v>43.343999999999994</v>
      </c>
      <c r="W117" s="1" t="s">
        <v>19</v>
      </c>
      <c r="X117" s="3">
        <v>0.94</v>
      </c>
      <c r="Z117" s="1" t="s">
        <v>24</v>
      </c>
      <c r="AA117" s="1">
        <v>4.1859999999999999</v>
      </c>
    </row>
    <row r="118" spans="1:29" x14ac:dyDescent="0.3">
      <c r="A118" s="299"/>
      <c r="B118" s="302"/>
      <c r="C118" s="305"/>
      <c r="D118" s="18">
        <f>IFERROR(ROUNDUP((U118*$X$3*1000*$X$4*$X$2)/((C116/10^3)*$X$5*$AA$4),2),"")</f>
        <v>21.240000000000002</v>
      </c>
      <c r="E118" s="19">
        <v>22</v>
      </c>
      <c r="F118" s="21">
        <f>((($X$5*$AA$4*(C116*0.001)*E118)/1000)/O118)</f>
        <v>37.426213951337026</v>
      </c>
      <c r="G118" s="21">
        <f t="shared" si="55"/>
        <v>39.730588058744189</v>
      </c>
      <c r="H118" s="21">
        <f t="shared" si="56"/>
        <v>43.185421802982809</v>
      </c>
      <c r="I118" s="24" t="s">
        <v>16</v>
      </c>
      <c r="J118" s="24" t="s">
        <v>76</v>
      </c>
      <c r="K118" s="7">
        <v>45</v>
      </c>
      <c r="L118" s="7" t="s">
        <v>35</v>
      </c>
      <c r="M118" s="11">
        <f>INDEX('WEG Motor'!$B$3:$AZ$55,
       MATCH(K118,'WEG Motor'!$A$3:$A$55,0),
       MATCH(L118,'WEG Motor'!$B$2:$AZ$2,0))%</f>
        <v>0.94200000000000006</v>
      </c>
      <c r="N118" s="9">
        <v>0.92</v>
      </c>
      <c r="O118" s="6">
        <v>0.83020000000000005</v>
      </c>
      <c r="P118" s="8">
        <v>3.4820000000000002</v>
      </c>
      <c r="Q118" s="37">
        <f>ROUNDUP(H118/(C116/10^3),2)</f>
        <v>299.89999999999998</v>
      </c>
      <c r="R118" s="302"/>
      <c r="S118" s="5"/>
      <c r="T118" s="79"/>
      <c r="U118" s="62">
        <f>R116*(C116/10^3)</f>
        <v>43.343999999999994</v>
      </c>
      <c r="V118" s="10"/>
      <c r="W118" s="1" t="s">
        <v>27</v>
      </c>
      <c r="X118" s="3">
        <v>0.8</v>
      </c>
      <c r="Z118" s="1" t="s">
        <v>28</v>
      </c>
      <c r="AA118" s="1">
        <v>9.81</v>
      </c>
      <c r="AC118" s="2" t="s">
        <v>20</v>
      </c>
    </row>
    <row r="119" spans="1:29" x14ac:dyDescent="0.3">
      <c r="A119" s="299"/>
      <c r="B119" s="302"/>
      <c r="C119" s="305"/>
      <c r="D119" s="18">
        <f>IFERROR(ROUNDUP((U119*$X$3*1000*$X$4*$X$2)/((C116/10^3)*$X$5*$AA$4),2),"")</f>
        <v>21.240000000000002</v>
      </c>
      <c r="E119" s="19">
        <v>21</v>
      </c>
      <c r="F119" s="21">
        <f>((($X$5*$AA$4*(C116*0.001)*E119)/1000)/O119)</f>
        <v>36.962753742771689</v>
      </c>
      <c r="G119" s="21">
        <f t="shared" si="55"/>
        <v>39.238592083621747</v>
      </c>
      <c r="H119" s="21">
        <f t="shared" si="56"/>
        <v>42.65064356915407</v>
      </c>
      <c r="I119" s="98" t="s">
        <v>30</v>
      </c>
      <c r="J119" s="98" t="s">
        <v>65</v>
      </c>
      <c r="K119" s="89">
        <v>45</v>
      </c>
      <c r="L119" s="89" t="s">
        <v>35</v>
      </c>
      <c r="M119" s="90">
        <f>INDEX('WEG Motor'!$B$3:$AZ$55,
       MATCH(K119,'WEG Motor'!$A$3:$A$55,0),
       MATCH(L119,'WEG Motor'!$B$2:$AZ$2,0))%</f>
        <v>0.94200000000000006</v>
      </c>
      <c r="N119" s="91">
        <v>0.92</v>
      </c>
      <c r="O119" s="92">
        <v>0.8024</v>
      </c>
      <c r="P119" s="95">
        <v>6.391</v>
      </c>
      <c r="Q119" s="96">
        <f>ROUNDUP(H119/(C116/10^3),2)</f>
        <v>296.19</v>
      </c>
      <c r="R119" s="302"/>
      <c r="S119" s="5"/>
      <c r="T119" s="112" t="s">
        <v>92</v>
      </c>
      <c r="U119" s="111">
        <f>R116*(C116/10^3)</f>
        <v>43.343999999999994</v>
      </c>
      <c r="V119" s="10"/>
      <c r="W119" s="1" t="s">
        <v>22</v>
      </c>
      <c r="X119" s="1">
        <v>999.78</v>
      </c>
      <c r="Z119" s="1" t="s">
        <v>25</v>
      </c>
      <c r="AA119" s="1" t="s">
        <v>26</v>
      </c>
      <c r="AC119" s="2"/>
    </row>
    <row r="120" spans="1:29" x14ac:dyDescent="0.3">
      <c r="A120" s="299"/>
      <c r="B120" s="302"/>
      <c r="C120" s="305"/>
      <c r="D120" s="18">
        <f>IFERROR(ROUNDUP((U120*$X$3*1000*$X$4*$X$2)/((C116/10^3)*$X$5*$AA$4),2),"")</f>
        <v>21.240000000000002</v>
      </c>
      <c r="E120" s="19">
        <v>22.5</v>
      </c>
      <c r="F120" s="21">
        <f>((($X$5*$AA$4*(C116*0.001)*E120)/1000)/O120)</f>
        <v>37.101468105078816</v>
      </c>
      <c r="G120" s="21">
        <f t="shared" si="55"/>
        <v>39.385847245306593</v>
      </c>
      <c r="H120" s="21">
        <f t="shared" si="56"/>
        <v>42.810703527507165</v>
      </c>
      <c r="I120" s="12" t="s">
        <v>18</v>
      </c>
      <c r="J120" s="12" t="s">
        <v>112</v>
      </c>
      <c r="K120" s="7">
        <v>45</v>
      </c>
      <c r="L120" s="7" t="s">
        <v>35</v>
      </c>
      <c r="M120" s="11">
        <f>INDEX('WEG Motor'!$B$3:$AZ$55,
       MATCH(K120,'WEG Motor'!$A$3:$A$55,0),
       MATCH(L120,'WEG Motor'!$B$2:$AZ$2,0))%</f>
        <v>0.94200000000000006</v>
      </c>
      <c r="N120" s="9">
        <v>0.92</v>
      </c>
      <c r="O120" s="6">
        <v>0.85650000000000004</v>
      </c>
      <c r="P120" s="76">
        <v>3.99</v>
      </c>
      <c r="Q120" s="37">
        <f>ROUNDUP(H120/(C116/10^3),2)</f>
        <v>297.3</v>
      </c>
      <c r="R120" s="302"/>
      <c r="S120" s="5"/>
      <c r="T120" s="79"/>
      <c r="U120" s="62">
        <f>R116*(C116/10^3)</f>
        <v>43.343999999999994</v>
      </c>
      <c r="V120" s="10"/>
      <c r="Z120" s="1">
        <v>1</v>
      </c>
      <c r="AA120" s="1">
        <v>3.5169999999999999</v>
      </c>
      <c r="AC120" s="2" t="s">
        <v>21</v>
      </c>
    </row>
    <row r="121" spans="1:29" ht="15" thickBot="1" x14ac:dyDescent="0.35">
      <c r="A121" s="300"/>
      <c r="B121" s="303"/>
      <c r="C121" s="306"/>
      <c r="D121" s="63">
        <f>IFERROR(ROUNDUP((U121*$X$3*1000*$X$4*$X$2)/((C116/10^3)*$X$5*$AA$4),2),"")</f>
        <v>21.240000000000002</v>
      </c>
      <c r="E121" s="19">
        <v>22.5</v>
      </c>
      <c r="F121" s="65">
        <f>((($X$5*$AA$4*(C116*0.001)*E121)/1000)/O121)</f>
        <v>37.101468105078816</v>
      </c>
      <c r="G121" s="65">
        <f t="shared" si="55"/>
        <v>39.385847245306593</v>
      </c>
      <c r="H121" s="65">
        <f t="shared" si="56"/>
        <v>42.810703527507165</v>
      </c>
      <c r="I121" s="66" t="s">
        <v>32</v>
      </c>
      <c r="J121" s="66" t="s">
        <v>113</v>
      </c>
      <c r="K121" s="67">
        <v>45</v>
      </c>
      <c r="L121" s="67" t="s">
        <v>35</v>
      </c>
      <c r="M121" s="68">
        <f>INDEX('WEG Motor'!$B$3:$AZ$55,
       MATCH(K121,'WEG Motor'!$A$3:$A$55,0),
       MATCH(L121,'WEG Motor'!$B$2:$AZ$2,0))%</f>
        <v>0.94200000000000006</v>
      </c>
      <c r="N121" s="69">
        <v>0.92</v>
      </c>
      <c r="O121" s="70">
        <v>0.85650000000000004</v>
      </c>
      <c r="P121" s="117">
        <v>3.99</v>
      </c>
      <c r="Q121" s="121">
        <f>ROUNDUP(H121/(C116/10^3),2)</f>
        <v>297.3</v>
      </c>
      <c r="R121" s="303"/>
      <c r="S121" s="73"/>
      <c r="T121" s="80"/>
      <c r="U121" s="74">
        <f>R116*(C116/10^3)</f>
        <v>43.343999999999994</v>
      </c>
    </row>
  </sheetData>
  <autoFilter ref="A1:AB1" xr:uid="{78988BAC-81B3-4936-948C-2E0645D23A45}"/>
  <mergeCells count="80">
    <mergeCell ref="A86:A91"/>
    <mergeCell ref="B86:B91"/>
    <mergeCell ref="C86:C91"/>
    <mergeCell ref="R86:R91"/>
    <mergeCell ref="A74:A79"/>
    <mergeCell ref="B74:B79"/>
    <mergeCell ref="C74:C79"/>
    <mergeCell ref="R74:R79"/>
    <mergeCell ref="A80:A85"/>
    <mergeCell ref="B80:B85"/>
    <mergeCell ref="C80:C85"/>
    <mergeCell ref="R80:R85"/>
    <mergeCell ref="A62:A67"/>
    <mergeCell ref="B62:B67"/>
    <mergeCell ref="C62:C67"/>
    <mergeCell ref="R62:R67"/>
    <mergeCell ref="A68:A73"/>
    <mergeCell ref="B68:B73"/>
    <mergeCell ref="C68:C73"/>
    <mergeCell ref="R68:R73"/>
    <mergeCell ref="A50:A55"/>
    <mergeCell ref="B50:B55"/>
    <mergeCell ref="C50:C55"/>
    <mergeCell ref="R50:R55"/>
    <mergeCell ref="A56:A61"/>
    <mergeCell ref="B56:B61"/>
    <mergeCell ref="C56:C61"/>
    <mergeCell ref="R56:R61"/>
    <mergeCell ref="A38:A43"/>
    <mergeCell ref="B38:B43"/>
    <mergeCell ref="C38:C43"/>
    <mergeCell ref="R38:R43"/>
    <mergeCell ref="A44:A49"/>
    <mergeCell ref="B44:B49"/>
    <mergeCell ref="C44:C49"/>
    <mergeCell ref="R44:R49"/>
    <mergeCell ref="A26:A31"/>
    <mergeCell ref="B26:B31"/>
    <mergeCell ref="C26:C31"/>
    <mergeCell ref="R26:R31"/>
    <mergeCell ref="A32:A37"/>
    <mergeCell ref="B32:B37"/>
    <mergeCell ref="C32:C37"/>
    <mergeCell ref="R32:R37"/>
    <mergeCell ref="A14:A19"/>
    <mergeCell ref="B14:B19"/>
    <mergeCell ref="C14:C19"/>
    <mergeCell ref="R14:R19"/>
    <mergeCell ref="A20:A25"/>
    <mergeCell ref="B20:B25"/>
    <mergeCell ref="C20:C25"/>
    <mergeCell ref="R20:R25"/>
    <mergeCell ref="A8:A13"/>
    <mergeCell ref="B8:B13"/>
    <mergeCell ref="C8:C13"/>
    <mergeCell ref="R8:R13"/>
    <mergeCell ref="A2:A7"/>
    <mergeCell ref="B2:B7"/>
    <mergeCell ref="C2:C7"/>
    <mergeCell ref="R2:R7"/>
    <mergeCell ref="A92:A97"/>
    <mergeCell ref="B92:B97"/>
    <mergeCell ref="C92:C97"/>
    <mergeCell ref="R92:R97"/>
    <mergeCell ref="A98:A103"/>
    <mergeCell ref="B98:B103"/>
    <mergeCell ref="C98:C103"/>
    <mergeCell ref="R98:R103"/>
    <mergeCell ref="A116:A121"/>
    <mergeCell ref="B116:B121"/>
    <mergeCell ref="C116:C121"/>
    <mergeCell ref="R116:R121"/>
    <mergeCell ref="A104:A109"/>
    <mergeCell ref="B104:B109"/>
    <mergeCell ref="C104:C109"/>
    <mergeCell ref="R104:R109"/>
    <mergeCell ref="A110:A115"/>
    <mergeCell ref="B110:B115"/>
    <mergeCell ref="C110:C115"/>
    <mergeCell ref="R110:R115"/>
  </mergeCells>
  <conditionalFormatting sqref="P2:P121">
    <cfRule type="expression" dxfId="13" priority="1">
      <formula>P2&gt;5</formula>
    </cfRule>
  </conditionalFormatting>
  <conditionalFormatting sqref="Q2:Q121">
    <cfRule type="expression" dxfId="12" priority="2">
      <formula>Q2&gt;$R$2</formula>
    </cfRule>
  </conditionalFormatting>
  <dataValidations count="1">
    <dataValidation type="list" allowBlank="1" showInputMessage="1" showErrorMessage="1" sqref="L2:L121" xr:uid="{62283C65-4D03-4BF0-9E35-DC6D204C932A}">
      <formula1>Poles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D95C-5D1E-469A-892D-F6E352E88C67}">
  <dimension ref="A1:CG142"/>
  <sheetViews>
    <sheetView tabSelected="1" topLeftCell="AU111" zoomScaleNormal="100" workbookViewId="0">
      <selection activeCell="AV126" sqref="AV126"/>
    </sheetView>
  </sheetViews>
  <sheetFormatPr defaultRowHeight="14.4" x14ac:dyDescent="0.3"/>
  <cols>
    <col min="3" max="3" width="10.109375" bestFit="1" customWidth="1"/>
    <col min="5" max="5" width="40.6640625" customWidth="1"/>
    <col min="7" max="7" width="10.21875" customWidth="1"/>
    <col min="11" max="11" width="8.88671875" style="281" customWidth="1"/>
    <col min="12" max="12" width="20.33203125" customWidth="1"/>
    <col min="13" max="13" width="19.21875" customWidth="1"/>
    <col min="14" max="14" width="22.21875" customWidth="1"/>
    <col min="15" max="15" width="19.21875" customWidth="1"/>
    <col min="16" max="16" width="37" customWidth="1"/>
    <col min="21" max="21" width="9.109375" bestFit="1" customWidth="1"/>
    <col min="22" max="22" width="8.88671875" style="281"/>
    <col min="23" max="23" width="17" customWidth="1"/>
    <col min="24" max="24" width="25.44140625" customWidth="1"/>
    <col min="25" max="25" width="21.77734375" customWidth="1"/>
    <col min="26" max="26" width="30.6640625" customWidth="1"/>
    <col min="27" max="27" width="38.21875" customWidth="1"/>
    <col min="34" max="34" width="16.21875" customWidth="1"/>
    <col min="35" max="35" width="15.6640625" customWidth="1"/>
    <col min="36" max="36" width="21.6640625" customWidth="1"/>
    <col min="37" max="37" width="15.6640625" customWidth="1"/>
    <col min="38" max="38" width="41.77734375" customWidth="1"/>
    <col min="45" max="45" width="15.5546875" customWidth="1"/>
    <col min="46" max="46" width="20.33203125" customWidth="1"/>
    <col min="47" max="47" width="22.109375" customWidth="1"/>
    <col min="48" max="48" width="36.5546875" customWidth="1"/>
    <col min="49" max="49" width="28.33203125" customWidth="1"/>
    <col min="56" max="56" width="19.5546875" customWidth="1"/>
    <col min="57" max="57" width="18.109375" customWidth="1"/>
    <col min="58" max="58" width="20.109375" customWidth="1"/>
    <col min="59" max="59" width="18.109375" customWidth="1"/>
    <col min="60" max="60" width="27.109375" customWidth="1"/>
    <col min="67" max="67" width="25.6640625" customWidth="1"/>
    <col min="68" max="68" width="28.88671875" customWidth="1"/>
    <col min="69" max="69" width="21.77734375" customWidth="1"/>
    <col min="70" max="70" width="28.88671875" customWidth="1"/>
  </cols>
  <sheetData>
    <row r="1" spans="1:85" x14ac:dyDescent="0.3">
      <c r="A1" s="332" t="s">
        <v>0</v>
      </c>
      <c r="B1" s="333" t="s">
        <v>1</v>
      </c>
      <c r="C1" s="334" t="s">
        <v>116</v>
      </c>
      <c r="D1" s="335" t="s">
        <v>117</v>
      </c>
      <c r="E1" s="317" t="s">
        <v>14</v>
      </c>
      <c r="F1" s="318"/>
      <c r="G1" s="318"/>
      <c r="H1" s="318"/>
      <c r="I1" s="318"/>
      <c r="J1" s="318"/>
      <c r="K1" s="318"/>
      <c r="L1" s="318"/>
      <c r="M1" s="318"/>
      <c r="N1" s="318"/>
      <c r="O1" s="319"/>
      <c r="P1" s="320" t="s">
        <v>15</v>
      </c>
      <c r="Q1" s="321"/>
      <c r="R1" s="321"/>
      <c r="S1" s="321"/>
      <c r="T1" s="321"/>
      <c r="U1" s="321"/>
      <c r="V1" s="321"/>
      <c r="W1" s="321"/>
      <c r="X1" s="321"/>
      <c r="Y1" s="321"/>
      <c r="Z1" s="322"/>
      <c r="AA1" s="323" t="s">
        <v>16</v>
      </c>
      <c r="AB1" s="324"/>
      <c r="AC1" s="324"/>
      <c r="AD1" s="324"/>
      <c r="AE1" s="324"/>
      <c r="AF1" s="324"/>
      <c r="AG1" s="324"/>
      <c r="AH1" s="324"/>
      <c r="AI1" s="324"/>
      <c r="AJ1" s="324"/>
      <c r="AK1" s="325"/>
      <c r="AL1" s="326" t="s">
        <v>30</v>
      </c>
      <c r="AM1" s="327"/>
      <c r="AN1" s="327"/>
      <c r="AO1" s="327"/>
      <c r="AP1" s="327"/>
      <c r="AQ1" s="327"/>
      <c r="AR1" s="327"/>
      <c r="AS1" s="327"/>
      <c r="AT1" s="327"/>
      <c r="AU1" s="327"/>
      <c r="AV1" s="328"/>
      <c r="AW1" s="329" t="s">
        <v>18</v>
      </c>
      <c r="AX1" s="330"/>
      <c r="AY1" s="330"/>
      <c r="AZ1" s="330"/>
      <c r="BA1" s="330"/>
      <c r="BB1" s="330"/>
      <c r="BC1" s="330"/>
      <c r="BD1" s="330"/>
      <c r="BE1" s="330"/>
      <c r="BF1" s="330"/>
      <c r="BG1" s="331"/>
      <c r="BH1" s="314" t="s">
        <v>123</v>
      </c>
      <c r="BI1" s="315"/>
      <c r="BJ1" s="315"/>
      <c r="BK1" s="315"/>
      <c r="BL1" s="315"/>
      <c r="BM1" s="315"/>
      <c r="BN1" s="315"/>
      <c r="BO1" s="315"/>
      <c r="BP1" s="315"/>
      <c r="BQ1" s="315"/>
      <c r="BR1" s="316"/>
    </row>
    <row r="2" spans="1:85" ht="43.8" thickBot="1" x14ac:dyDescent="0.35">
      <c r="A2" s="332"/>
      <c r="B2" s="333"/>
      <c r="C2" s="334"/>
      <c r="D2" s="335"/>
      <c r="E2" s="248" t="s">
        <v>5</v>
      </c>
      <c r="F2" s="249" t="s">
        <v>118</v>
      </c>
      <c r="G2" s="249" t="s">
        <v>37</v>
      </c>
      <c r="H2" s="250" t="s">
        <v>119</v>
      </c>
      <c r="I2" s="250" t="s">
        <v>120</v>
      </c>
      <c r="J2" s="250" t="s">
        <v>121</v>
      </c>
      <c r="K2" s="280" t="s">
        <v>122</v>
      </c>
      <c r="L2" s="249" t="s">
        <v>31</v>
      </c>
      <c r="M2" s="249" t="s">
        <v>125</v>
      </c>
      <c r="N2" s="249" t="s">
        <v>124</v>
      </c>
      <c r="O2" s="251" t="s">
        <v>81</v>
      </c>
      <c r="P2" s="252" t="s">
        <v>5</v>
      </c>
      <c r="Q2" s="253" t="s">
        <v>118</v>
      </c>
      <c r="R2" s="253" t="s">
        <v>37</v>
      </c>
      <c r="S2" s="254" t="s">
        <v>119</v>
      </c>
      <c r="T2" s="254" t="s">
        <v>120</v>
      </c>
      <c r="U2" s="254" t="s">
        <v>121</v>
      </c>
      <c r="V2" s="288" t="s">
        <v>122</v>
      </c>
      <c r="W2" s="253" t="s">
        <v>31</v>
      </c>
      <c r="X2" s="253" t="s">
        <v>125</v>
      </c>
      <c r="Y2" s="253" t="s">
        <v>124</v>
      </c>
      <c r="Z2" s="255" t="s">
        <v>81</v>
      </c>
      <c r="AA2" s="256" t="s">
        <v>5</v>
      </c>
      <c r="AB2" s="257" t="s">
        <v>118</v>
      </c>
      <c r="AC2" s="257" t="s">
        <v>37</v>
      </c>
      <c r="AD2" s="258" t="s">
        <v>119</v>
      </c>
      <c r="AE2" s="258" t="s">
        <v>120</v>
      </c>
      <c r="AF2" s="258" t="s">
        <v>121</v>
      </c>
      <c r="AG2" s="259" t="s">
        <v>122</v>
      </c>
      <c r="AH2" s="257" t="s">
        <v>31</v>
      </c>
      <c r="AI2" s="257" t="s">
        <v>125</v>
      </c>
      <c r="AJ2" s="257" t="s">
        <v>124</v>
      </c>
      <c r="AK2" s="260" t="s">
        <v>81</v>
      </c>
      <c r="AL2" s="261" t="s">
        <v>5</v>
      </c>
      <c r="AM2" s="262" t="s">
        <v>118</v>
      </c>
      <c r="AN2" s="262" t="s">
        <v>37</v>
      </c>
      <c r="AO2" s="263" t="s">
        <v>119</v>
      </c>
      <c r="AP2" s="263" t="s">
        <v>120</v>
      </c>
      <c r="AQ2" s="263" t="s">
        <v>121</v>
      </c>
      <c r="AR2" s="264" t="s">
        <v>122</v>
      </c>
      <c r="AS2" s="262" t="s">
        <v>31</v>
      </c>
      <c r="AT2" s="262" t="s">
        <v>125</v>
      </c>
      <c r="AU2" s="262" t="s">
        <v>124</v>
      </c>
      <c r="AV2" s="265" t="s">
        <v>81</v>
      </c>
      <c r="AW2" s="266" t="s">
        <v>5</v>
      </c>
      <c r="AX2" s="267" t="s">
        <v>118</v>
      </c>
      <c r="AY2" s="267" t="s">
        <v>37</v>
      </c>
      <c r="AZ2" s="268" t="s">
        <v>119</v>
      </c>
      <c r="BA2" s="268" t="s">
        <v>120</v>
      </c>
      <c r="BB2" s="268" t="s">
        <v>121</v>
      </c>
      <c r="BC2" s="269" t="s">
        <v>122</v>
      </c>
      <c r="BD2" s="267" t="s">
        <v>31</v>
      </c>
      <c r="BE2" s="267" t="s">
        <v>125</v>
      </c>
      <c r="BF2" s="267" t="s">
        <v>124</v>
      </c>
      <c r="BG2" s="270" t="s">
        <v>81</v>
      </c>
      <c r="BH2" s="271" t="s">
        <v>5</v>
      </c>
      <c r="BI2" s="272" t="s">
        <v>118</v>
      </c>
      <c r="BJ2" s="272" t="s">
        <v>37</v>
      </c>
      <c r="BK2" s="273" t="s">
        <v>119</v>
      </c>
      <c r="BL2" s="273" t="s">
        <v>120</v>
      </c>
      <c r="BM2" s="273" t="s">
        <v>121</v>
      </c>
      <c r="BN2" s="274" t="s">
        <v>122</v>
      </c>
      <c r="BO2" s="272" t="s">
        <v>31</v>
      </c>
      <c r="BP2" s="272" t="s">
        <v>125</v>
      </c>
      <c r="BQ2" s="272" t="s">
        <v>124</v>
      </c>
      <c r="BR2" s="275" t="s">
        <v>81</v>
      </c>
    </row>
    <row r="3" spans="1:85" ht="19.2" customHeight="1" x14ac:dyDescent="0.3">
      <c r="A3" s="308">
        <v>0</v>
      </c>
      <c r="B3" s="308"/>
      <c r="C3" s="311">
        <f>ROUND((B3 * $BW$7 * 1000) / ($BT$6 * $BW$3 * $BW$4), 0)</f>
        <v>0</v>
      </c>
      <c r="D3" s="145">
        <v>15</v>
      </c>
      <c r="E3" s="173"/>
      <c r="F3" s="53"/>
      <c r="G3" s="53"/>
      <c r="H3" s="174" t="e">
        <f>INDEX('WEG Motor'!$B$3:$AZ$55,
       MATCH(F3,'WEG Motor'!$A$3:$A$55,0),
       MATCH(G3,'WEG Motor'!$B$2:$AZ$2,0))%</f>
        <v>#N/A</v>
      </c>
      <c r="I3" s="174">
        <v>0.92</v>
      </c>
      <c r="J3" s="282"/>
      <c r="K3" s="175"/>
      <c r="L3" s="285" t="e">
        <f t="shared" ref="L3:L7" si="0">ROUND(((($BT$6*$BW$5*(C3*0.001)*D3)/1000)/J3), 2)</f>
        <v>#DIV/0!</v>
      </c>
      <c r="M3" s="53" t="e">
        <f>ROUND((L3/H3),2)</f>
        <v>#DIV/0!</v>
      </c>
      <c r="N3" s="236" t="e">
        <f t="shared" ref="N3:N9" si="1">ROUND((M3/I3), 2)</f>
        <v>#DIV/0!</v>
      </c>
      <c r="O3" s="176"/>
      <c r="P3" s="209"/>
      <c r="Q3" s="177"/>
      <c r="R3" s="177"/>
      <c r="S3" s="178" t="e">
        <f>INDEX('WEG Motor'!$B$3:$AZ$55,
       MATCH(Q3,'WEG Motor'!$A$3:$A$55,0),
       MATCH(R3,'WEG Motor'!$B$2:$AZ$2,0))%</f>
        <v>#N/A</v>
      </c>
      <c r="T3" s="178">
        <v>0.92</v>
      </c>
      <c r="U3" s="178"/>
      <c r="V3" s="179"/>
      <c r="W3" s="297" t="e">
        <f>ROUND(((($BT$6*$BW$5*(C3*0.001)*D3)/1000)/U3), 2)</f>
        <v>#DIV/0!</v>
      </c>
      <c r="X3" s="177" t="e">
        <f>ROUND((W3/S3),2)</f>
        <v>#DIV/0!</v>
      </c>
      <c r="Y3" s="276" t="e">
        <f t="shared" ref="Y3:Y9" si="2">ROUND((X3/T3), 2)</f>
        <v>#DIV/0!</v>
      </c>
      <c r="Z3" s="210"/>
      <c r="AA3" s="215"/>
      <c r="AB3" s="180"/>
      <c r="AC3" s="180"/>
      <c r="AD3" s="181" t="e">
        <f>INDEX('WEG Motor'!$B$3:$AZ$55,
       MATCH(AB3,'WEG Motor'!$A$3:$A$55,0),
       MATCH(AC3,'WEG Motor'!$B$2:$AZ$2,0))%</f>
        <v>#N/A</v>
      </c>
      <c r="AE3" s="181">
        <v>0.92</v>
      </c>
      <c r="AF3" s="181"/>
      <c r="AG3" s="182"/>
      <c r="AH3" s="296" t="e">
        <f>ROUND(((($BT$6*$BW$5*(C3*0.001)*D3)/1000)/AF3), 2)</f>
        <v>#DIV/0!</v>
      </c>
      <c r="AI3" s="180" t="e">
        <f>ROUND((AH3/AD3),2)</f>
        <v>#DIV/0!</v>
      </c>
      <c r="AJ3" s="277" t="e">
        <f t="shared" ref="AJ3:AJ9" si="3">ROUND((AI3/AE3), 2)</f>
        <v>#DIV/0!</v>
      </c>
      <c r="AK3" s="216"/>
      <c r="AL3" s="221"/>
      <c r="AM3" s="183"/>
      <c r="AN3" s="183"/>
      <c r="AO3" s="184" t="e">
        <f>INDEX('WEG Motor'!$B$3:$AZ$55,
       MATCH(AM3,'WEG Motor'!$A$3:$A$55,0),
       MATCH(AN3,'WEG Motor'!$B$2:$AZ$2,0))%</f>
        <v>#N/A</v>
      </c>
      <c r="AP3" s="184">
        <v>0.92</v>
      </c>
      <c r="AQ3" s="184"/>
      <c r="AR3" s="185"/>
      <c r="AS3" s="295" t="e">
        <f>ROUND(((($BT$6*$BW$5*(C3*0.001)*D3)/1000)/AQ3), 2)</f>
        <v>#DIV/0!</v>
      </c>
      <c r="AT3" s="183" t="e">
        <f>ROUND((AS3/AO3),2)</f>
        <v>#DIV/0!</v>
      </c>
      <c r="AU3" s="278" t="e">
        <f t="shared" ref="AU3:AU9" si="4">ROUND((AT3/AP3), 2)</f>
        <v>#DIV/0!</v>
      </c>
      <c r="AV3" s="222"/>
      <c r="AW3" s="227"/>
      <c r="AX3" s="186"/>
      <c r="AY3" s="186"/>
      <c r="AZ3" s="187" t="e">
        <f>INDEX('WEG Motor'!$B$3:$AZ$55,
       MATCH(AX3,'WEG Motor'!$A$3:$A$55,0),
       MATCH(AY3,'WEG Motor'!$B$2:$AZ$2,0))%</f>
        <v>#N/A</v>
      </c>
      <c r="BA3" s="187">
        <v>0.92</v>
      </c>
      <c r="BB3" s="187"/>
      <c r="BC3" s="188"/>
      <c r="BD3" s="294" t="e">
        <f>ROUND(((($BT$6*$BW$5*(C3*0.001)*D3)/1000)/BB3), 2)</f>
        <v>#DIV/0!</v>
      </c>
      <c r="BE3" s="186" t="e">
        <f>ROUND((BD3/AZ3),2)</f>
        <v>#DIV/0!</v>
      </c>
      <c r="BF3" s="279" t="e">
        <f t="shared" ref="BF3:BF9" si="5">ROUND((BE3/BA3), 2)</f>
        <v>#DIV/0!</v>
      </c>
      <c r="BG3" s="228"/>
      <c r="BH3" s="233"/>
      <c r="BI3" s="189"/>
      <c r="BJ3" s="189"/>
      <c r="BK3" s="190" t="e">
        <f>INDEX('WEG Motor'!$B$3:$AZ$55,
       MATCH(BI3,'WEG Motor'!$A$3:$A$55,0),
       MATCH(BJ3,'WEG Motor'!$B$2:$AZ$2,0))%</f>
        <v>#N/A</v>
      </c>
      <c r="BL3" s="190">
        <v>0.92</v>
      </c>
      <c r="BM3" s="190"/>
      <c r="BN3" s="191"/>
      <c r="BO3" s="289" t="e">
        <f>ROUND(((($BT$6*$BW$5*(C3*0.001)*D3)/1000)/BM3), 2)</f>
        <v>#DIV/0!</v>
      </c>
      <c r="BP3" s="290" t="e">
        <f>ROUND((BO3/BK3),2)</f>
        <v>#DIV/0!</v>
      </c>
      <c r="BQ3" s="291" t="e">
        <f>ROUND((BP3/BL3), 2)</f>
        <v>#DIV/0!</v>
      </c>
      <c r="BR3" s="192"/>
      <c r="BS3" s="1" t="s">
        <v>17</v>
      </c>
      <c r="BT3" s="3">
        <v>0.92</v>
      </c>
      <c r="BU3" s="1"/>
      <c r="BV3" s="1" t="s">
        <v>23</v>
      </c>
      <c r="BW3" s="1">
        <v>7</v>
      </c>
      <c r="BX3" s="1"/>
      <c r="BY3" s="4" t="s">
        <v>38</v>
      </c>
      <c r="BZ3" s="1"/>
      <c r="CA3" s="1"/>
      <c r="CB3" s="1"/>
      <c r="CC3" s="1"/>
      <c r="CD3" s="1"/>
      <c r="CE3" s="1"/>
      <c r="CF3" s="1"/>
      <c r="CG3" s="1"/>
    </row>
    <row r="4" spans="1:85" x14ac:dyDescent="0.3">
      <c r="A4" s="309"/>
      <c r="B4" s="309"/>
      <c r="C4" s="312"/>
      <c r="D4" s="164">
        <v>20</v>
      </c>
      <c r="E4" s="166"/>
      <c r="F4" s="146"/>
      <c r="G4" s="146"/>
      <c r="H4" s="147" t="e">
        <f>INDEX('WEG Motor'!$B$3:$AZ$55,
       MATCH(F4,'WEG Motor'!$A$3:$A$55,0),
       MATCH(G4,'WEG Motor'!$B$2:$AZ$2,0))%</f>
        <v>#N/A</v>
      </c>
      <c r="I4" s="147">
        <v>0.92</v>
      </c>
      <c r="J4" s="283"/>
      <c r="K4" s="148"/>
      <c r="L4" s="286" t="e">
        <f>ROUND(((($BT$6*$BW$5*(C3*0.001)*D4)/1000)/J4), 2)</f>
        <v>#DIV/0!</v>
      </c>
      <c r="M4" s="146" t="e">
        <f t="shared" ref="M4:M9" si="6">ROUND((L4/H4),2)</f>
        <v>#DIV/0!</v>
      </c>
      <c r="N4" s="237" t="e">
        <f t="shared" si="1"/>
        <v>#DIV/0!</v>
      </c>
      <c r="O4" s="167"/>
      <c r="P4" s="211"/>
      <c r="Q4" s="23"/>
      <c r="R4" s="23"/>
      <c r="S4" s="149" t="e">
        <f>INDEX('WEG Motor'!$B$3:$AZ$55,
       MATCH(Q4,'WEG Motor'!$A$3:$A$55,0),
       MATCH(R4,'WEG Motor'!$B$2:$AZ$2,0))%</f>
        <v>#N/A</v>
      </c>
      <c r="T4" s="149">
        <v>0.92</v>
      </c>
      <c r="U4" s="149"/>
      <c r="V4" s="150"/>
      <c r="W4" s="151" t="e">
        <f>ROUND(((($BT$6*$BW$5*(C3*0.001)*D4)/1000)/U4), 2)</f>
        <v>#DIV/0!</v>
      </c>
      <c r="X4" s="23" t="e">
        <f t="shared" ref="X4:X9" si="7">ROUND((W4/S4),2)</f>
        <v>#DIV/0!</v>
      </c>
      <c r="Y4" s="238" t="e">
        <f t="shared" si="2"/>
        <v>#DIV/0!</v>
      </c>
      <c r="Z4" s="212"/>
      <c r="AA4" s="217"/>
      <c r="AB4" s="24"/>
      <c r="AC4" s="24"/>
      <c r="AD4" s="152" t="e">
        <f>INDEX('WEG Motor'!$B$3:$AZ$55,
       MATCH(AB4,'WEG Motor'!$A$3:$A$55,0),
       MATCH(AC4,'WEG Motor'!$B$2:$AZ$2,0))%</f>
        <v>#N/A</v>
      </c>
      <c r="AE4" s="152">
        <v>0.92</v>
      </c>
      <c r="AF4" s="152"/>
      <c r="AG4" s="153"/>
      <c r="AH4" s="154" t="e">
        <f>ROUND(((($BT$6*$BW$5*(C3*0.001)*D4)/1000)/AF4), 2)</f>
        <v>#DIV/0!</v>
      </c>
      <c r="AI4" s="24" t="e">
        <f t="shared" ref="AI4:AI9" si="8">ROUND((AH4/AD4),2)</f>
        <v>#DIV/0!</v>
      </c>
      <c r="AJ4" s="239" t="e">
        <f t="shared" si="3"/>
        <v>#DIV/0!</v>
      </c>
      <c r="AK4" s="218"/>
      <c r="AL4" s="223"/>
      <c r="AM4" s="25"/>
      <c r="AN4" s="25"/>
      <c r="AO4" s="155" t="e">
        <f>INDEX('WEG Motor'!$B$3:$AZ$55,
       MATCH(AM4,'WEG Motor'!$A$3:$A$55,0),
       MATCH(AN4,'WEG Motor'!$B$2:$AZ$2,0))%</f>
        <v>#N/A</v>
      </c>
      <c r="AP4" s="155">
        <v>0.92</v>
      </c>
      <c r="AQ4" s="155"/>
      <c r="AR4" s="156"/>
      <c r="AS4" s="157" t="e">
        <f>ROUND(((($BT$6*$BW$5*(C3*0.001)*D4)/1000)/AQ4), 2)</f>
        <v>#DIV/0!</v>
      </c>
      <c r="AT4" s="25" t="e">
        <f t="shared" ref="AT4:AT9" si="9">ROUND((AS4/AO4),2)</f>
        <v>#DIV/0!</v>
      </c>
      <c r="AU4" s="240" t="e">
        <f t="shared" si="4"/>
        <v>#DIV/0!</v>
      </c>
      <c r="AV4" s="224"/>
      <c r="AW4" s="229"/>
      <c r="AX4" s="12"/>
      <c r="AY4" s="12"/>
      <c r="AZ4" s="158" t="e">
        <f>INDEX('WEG Motor'!$B$3:$AZ$55,
       MATCH(AX4,'WEG Motor'!$A$3:$A$55,0),
       MATCH(AY4,'WEG Motor'!$B$2:$AZ$2,0))%</f>
        <v>#N/A</v>
      </c>
      <c r="BA4" s="158">
        <v>0.92</v>
      </c>
      <c r="BB4" s="158"/>
      <c r="BC4" s="159"/>
      <c r="BD4" s="160" t="e">
        <f>ROUND(((($BT$6*$BW$5*(C3*0.001)*D4)/1000)/BB4), 2)</f>
        <v>#DIV/0!</v>
      </c>
      <c r="BE4" s="12" t="e">
        <f t="shared" ref="BE4:BE9" si="10">ROUND((BD4/AZ4),2)</f>
        <v>#DIV/0!</v>
      </c>
      <c r="BF4" s="241" t="e">
        <f t="shared" si="5"/>
        <v>#DIV/0!</v>
      </c>
      <c r="BG4" s="230"/>
      <c r="BH4" s="234"/>
      <c r="BI4" s="22"/>
      <c r="BJ4" s="22"/>
      <c r="BK4" s="161" t="e">
        <f>INDEX('WEG Motor'!$B$3:$AZ$55,
       MATCH(BI4,'WEG Motor'!$A$3:$A$55,0),
       MATCH(BJ4,'WEG Motor'!$B$2:$AZ$2,0))%</f>
        <v>#N/A</v>
      </c>
      <c r="BL4" s="161">
        <v>0.92</v>
      </c>
      <c r="BM4" s="161"/>
      <c r="BN4" s="162"/>
      <c r="BO4" s="163" t="e">
        <f>ROUND(((($BT$6*$BW$5*(C3*0.001)*D4)/1000)/BM4), 2)</f>
        <v>#DIV/0!</v>
      </c>
      <c r="BP4" s="22" t="e">
        <f t="shared" ref="BP4:BP9" si="11">ROUND((BO4/BK4),2)</f>
        <v>#DIV/0!</v>
      </c>
      <c r="BQ4" s="242" t="e">
        <f t="shared" ref="BQ4:BQ9" si="12">ROUND((BP4/BL4), 2)</f>
        <v>#DIV/0!</v>
      </c>
      <c r="BR4" s="193"/>
      <c r="BS4" s="1" t="s">
        <v>19</v>
      </c>
      <c r="BT4" s="3">
        <v>0.94</v>
      </c>
      <c r="BU4" s="1"/>
      <c r="BV4" s="1" t="s">
        <v>24</v>
      </c>
      <c r="BW4" s="1">
        <v>4.1859999999999999</v>
      </c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 x14ac:dyDescent="0.3">
      <c r="A5" s="309"/>
      <c r="B5" s="309"/>
      <c r="C5" s="312"/>
      <c r="D5" s="164">
        <v>25</v>
      </c>
      <c r="E5" s="166"/>
      <c r="F5" s="146"/>
      <c r="G5" s="146"/>
      <c r="H5" s="147" t="e">
        <f>INDEX('WEG Motor'!$B$3:$AZ$55,
       MATCH(F5,'WEG Motor'!$A$3:$A$55,0),
       MATCH(G5,'WEG Motor'!$B$2:$AZ$2,0))%</f>
        <v>#N/A</v>
      </c>
      <c r="I5" s="147">
        <v>0.92</v>
      </c>
      <c r="J5" s="283"/>
      <c r="K5" s="148"/>
      <c r="L5" s="286" t="e">
        <f>ROUND(((($BT$6*$BW$5*(C3*0.001)*D5)/1000)/J5), 2)</f>
        <v>#DIV/0!</v>
      </c>
      <c r="M5" s="146" t="e">
        <f t="shared" si="6"/>
        <v>#DIV/0!</v>
      </c>
      <c r="N5" s="237" t="e">
        <f t="shared" si="1"/>
        <v>#DIV/0!</v>
      </c>
      <c r="O5" s="167"/>
      <c r="P5" s="211"/>
      <c r="Q5" s="23"/>
      <c r="R5" s="23"/>
      <c r="S5" s="149" t="e">
        <f>INDEX('WEG Motor'!$B$3:$AZ$55,
       MATCH(Q5,'WEG Motor'!$A$3:$A$55,0),
       MATCH(R5,'WEG Motor'!$B$2:$AZ$2,0))%</f>
        <v>#N/A</v>
      </c>
      <c r="T5" s="149">
        <v>0.92</v>
      </c>
      <c r="U5" s="149"/>
      <c r="V5" s="150"/>
      <c r="W5" s="151" t="e">
        <f>ROUND(((($BT$6*$BW$5*(C3*0.001)*D5)/1000)/U5), 2)</f>
        <v>#DIV/0!</v>
      </c>
      <c r="X5" s="23" t="e">
        <f t="shared" si="7"/>
        <v>#DIV/0!</v>
      </c>
      <c r="Y5" s="238" t="e">
        <f t="shared" si="2"/>
        <v>#DIV/0!</v>
      </c>
      <c r="Z5" s="212"/>
      <c r="AA5" s="217"/>
      <c r="AB5" s="24"/>
      <c r="AC5" s="24"/>
      <c r="AD5" s="152" t="e">
        <f>INDEX('WEG Motor'!$B$3:$AZ$55,
       MATCH(AB5,'WEG Motor'!$A$3:$A$55,0),
       MATCH(AC5,'WEG Motor'!$B$2:$AZ$2,0))%</f>
        <v>#N/A</v>
      </c>
      <c r="AE5" s="152">
        <v>0.92</v>
      </c>
      <c r="AF5" s="152"/>
      <c r="AG5" s="153"/>
      <c r="AH5" s="154" t="e">
        <f>ROUND(((($BT$6*$BW$5*(C3*0.001)*D5)/1000)/AF5), 2)</f>
        <v>#DIV/0!</v>
      </c>
      <c r="AI5" s="24" t="e">
        <f t="shared" si="8"/>
        <v>#DIV/0!</v>
      </c>
      <c r="AJ5" s="239" t="e">
        <f t="shared" si="3"/>
        <v>#DIV/0!</v>
      </c>
      <c r="AK5" s="218"/>
      <c r="AL5" s="223"/>
      <c r="AM5" s="25"/>
      <c r="AN5" s="25"/>
      <c r="AO5" s="155" t="e">
        <f>INDEX('WEG Motor'!$B$3:$AZ$55,
       MATCH(AM5,'WEG Motor'!$A$3:$A$55,0),
       MATCH(AN5,'WEG Motor'!$B$2:$AZ$2,0))%</f>
        <v>#N/A</v>
      </c>
      <c r="AP5" s="155">
        <v>0.92</v>
      </c>
      <c r="AQ5" s="155"/>
      <c r="AR5" s="156"/>
      <c r="AS5" s="157" t="e">
        <f>ROUND(((($BT$6*$BW$5*(C3*0.001)*D5)/1000)/AQ5), 2)</f>
        <v>#DIV/0!</v>
      </c>
      <c r="AT5" s="25" t="e">
        <f t="shared" si="9"/>
        <v>#DIV/0!</v>
      </c>
      <c r="AU5" s="240" t="e">
        <f t="shared" si="4"/>
        <v>#DIV/0!</v>
      </c>
      <c r="AV5" s="224"/>
      <c r="AW5" s="229"/>
      <c r="AX5" s="12"/>
      <c r="AY5" s="12"/>
      <c r="AZ5" s="158" t="e">
        <f>INDEX('WEG Motor'!$B$3:$AZ$55,
       MATCH(AX5,'WEG Motor'!$A$3:$A$55,0),
       MATCH(AY5,'WEG Motor'!$B$2:$AZ$2,0))%</f>
        <v>#N/A</v>
      </c>
      <c r="BA5" s="158">
        <v>0.92</v>
      </c>
      <c r="BB5" s="158"/>
      <c r="BC5" s="159"/>
      <c r="BD5" s="160" t="e">
        <f>ROUND(((($BT$6*$BW$5*(C3*0.001)*D5)/1000)/BB5), 2)</f>
        <v>#DIV/0!</v>
      </c>
      <c r="BE5" s="12" t="e">
        <f t="shared" si="10"/>
        <v>#DIV/0!</v>
      </c>
      <c r="BF5" s="241" t="e">
        <f t="shared" si="5"/>
        <v>#DIV/0!</v>
      </c>
      <c r="BG5" s="230"/>
      <c r="BH5" s="234"/>
      <c r="BI5" s="22"/>
      <c r="BJ5" s="22"/>
      <c r="BK5" s="161" t="e">
        <f>INDEX('WEG Motor'!$B$3:$AZ$55,
       MATCH(BI5,'WEG Motor'!$A$3:$A$55,0),
       MATCH(BJ5,'WEG Motor'!$B$2:$AZ$2,0))%</f>
        <v>#N/A</v>
      </c>
      <c r="BL5" s="161">
        <v>0.92</v>
      </c>
      <c r="BM5" s="161"/>
      <c r="BN5" s="162"/>
      <c r="BO5" s="163" t="e">
        <f>ROUND(((($BT$6*$BW$5*(C3*0.001)*D5)/1000)/BM5), 2)</f>
        <v>#DIV/0!</v>
      </c>
      <c r="BP5" s="22" t="e">
        <f t="shared" si="11"/>
        <v>#DIV/0!</v>
      </c>
      <c r="BQ5" s="242" t="e">
        <f t="shared" si="12"/>
        <v>#DIV/0!</v>
      </c>
      <c r="BR5" s="193"/>
      <c r="BS5" s="1" t="s">
        <v>27</v>
      </c>
      <c r="BT5" s="3">
        <v>0.8</v>
      </c>
      <c r="BU5" s="1"/>
      <c r="BV5" s="1" t="s">
        <v>28</v>
      </c>
      <c r="BW5" s="1">
        <v>9.81</v>
      </c>
      <c r="BX5" s="1"/>
      <c r="BY5" s="2" t="s">
        <v>20</v>
      </c>
      <c r="BZ5" s="1"/>
      <c r="CA5" s="1"/>
      <c r="CB5" s="1"/>
      <c r="CC5" s="1"/>
      <c r="CD5" s="1"/>
      <c r="CE5" s="1"/>
      <c r="CF5" s="1"/>
      <c r="CG5" s="1"/>
    </row>
    <row r="6" spans="1:85" x14ac:dyDescent="0.3">
      <c r="A6" s="309"/>
      <c r="B6" s="309"/>
      <c r="C6" s="312"/>
      <c r="D6" s="164">
        <v>30</v>
      </c>
      <c r="E6" s="166"/>
      <c r="F6" s="146"/>
      <c r="G6" s="146"/>
      <c r="H6" s="147" t="e">
        <f>INDEX('WEG Motor'!$B$3:$AZ$55,
       MATCH(F6,'WEG Motor'!$A$3:$A$55,0),
       MATCH(G6,'WEG Motor'!$B$2:$AZ$2,0))%</f>
        <v>#N/A</v>
      </c>
      <c r="I6" s="147">
        <v>0.92</v>
      </c>
      <c r="J6" s="283"/>
      <c r="K6" s="148"/>
      <c r="L6" s="286" t="e">
        <f>ROUND(((($BT$6*$BW$5*(C3*0.001)*D6)/1000)/J6), 2)</f>
        <v>#DIV/0!</v>
      </c>
      <c r="M6" s="146" t="e">
        <f t="shared" si="6"/>
        <v>#DIV/0!</v>
      </c>
      <c r="N6" s="237" t="e">
        <f t="shared" si="1"/>
        <v>#DIV/0!</v>
      </c>
      <c r="O6" s="167"/>
      <c r="P6" s="211"/>
      <c r="Q6" s="23"/>
      <c r="R6" s="23"/>
      <c r="S6" s="149" t="e">
        <f>INDEX('WEG Motor'!$B$3:$AZ$55,
       MATCH(Q6,'WEG Motor'!$A$3:$A$55,0),
       MATCH(R6,'WEG Motor'!$B$2:$AZ$2,0))%</f>
        <v>#N/A</v>
      </c>
      <c r="T6" s="149">
        <v>0.92</v>
      </c>
      <c r="U6" s="149"/>
      <c r="V6" s="150"/>
      <c r="W6" s="151" t="e">
        <f>ROUND(((($BT$6*$BW$5*(C3*0.001)*D6)/1000)/U6), 2)</f>
        <v>#DIV/0!</v>
      </c>
      <c r="X6" s="23" t="e">
        <f t="shared" si="7"/>
        <v>#DIV/0!</v>
      </c>
      <c r="Y6" s="238" t="e">
        <f t="shared" si="2"/>
        <v>#DIV/0!</v>
      </c>
      <c r="Z6" s="212"/>
      <c r="AA6" s="217"/>
      <c r="AB6" s="24"/>
      <c r="AC6" s="24"/>
      <c r="AD6" s="152" t="e">
        <f>INDEX('WEG Motor'!$B$3:$AZ$55,
       MATCH(AB6,'WEG Motor'!$A$3:$A$55,0),
       MATCH(AC6,'WEG Motor'!$B$2:$AZ$2,0))%</f>
        <v>#N/A</v>
      </c>
      <c r="AE6" s="152">
        <v>0.92</v>
      </c>
      <c r="AF6" s="152"/>
      <c r="AG6" s="153"/>
      <c r="AH6" s="154" t="e">
        <f>ROUND(((($BT$6*$BW$5*(C3*0.001)*D6)/1000)/AF6), 2)</f>
        <v>#DIV/0!</v>
      </c>
      <c r="AI6" s="24" t="e">
        <f t="shared" si="8"/>
        <v>#DIV/0!</v>
      </c>
      <c r="AJ6" s="239" t="e">
        <f t="shared" si="3"/>
        <v>#DIV/0!</v>
      </c>
      <c r="AK6" s="218"/>
      <c r="AL6" s="223"/>
      <c r="AM6" s="25"/>
      <c r="AN6" s="25"/>
      <c r="AO6" s="155" t="e">
        <f>INDEX('WEG Motor'!$B$3:$AZ$55,
       MATCH(AM6,'WEG Motor'!$A$3:$A$55,0),
       MATCH(AN6,'WEG Motor'!$B$2:$AZ$2,0))%</f>
        <v>#N/A</v>
      </c>
      <c r="AP6" s="155">
        <v>0.92</v>
      </c>
      <c r="AQ6" s="155"/>
      <c r="AR6" s="156"/>
      <c r="AS6" s="157" t="e">
        <f>ROUND(((($BT$6*$BW$5*(C3*0.001)*D6)/1000)/AQ6), 2)</f>
        <v>#DIV/0!</v>
      </c>
      <c r="AT6" s="25" t="e">
        <f t="shared" si="9"/>
        <v>#DIV/0!</v>
      </c>
      <c r="AU6" s="240" t="e">
        <f t="shared" si="4"/>
        <v>#DIV/0!</v>
      </c>
      <c r="AV6" s="224"/>
      <c r="AW6" s="229"/>
      <c r="AX6" s="12"/>
      <c r="AY6" s="12"/>
      <c r="AZ6" s="158" t="e">
        <f>INDEX('WEG Motor'!$B$3:$AZ$55,
       MATCH(AX6,'WEG Motor'!$A$3:$A$55,0),
       MATCH(AY6,'WEG Motor'!$B$2:$AZ$2,0))%</f>
        <v>#N/A</v>
      </c>
      <c r="BA6" s="158">
        <v>0.92</v>
      </c>
      <c r="BB6" s="158"/>
      <c r="BC6" s="159"/>
      <c r="BD6" s="160" t="e">
        <f>ROUND(((($BT$6*$BW$5*(C3*0.001)*D6)/1000)/BB6), 2)</f>
        <v>#DIV/0!</v>
      </c>
      <c r="BE6" s="12" t="e">
        <f t="shared" si="10"/>
        <v>#DIV/0!</v>
      </c>
      <c r="BF6" s="241" t="e">
        <f t="shared" si="5"/>
        <v>#DIV/0!</v>
      </c>
      <c r="BG6" s="230"/>
      <c r="BH6" s="234"/>
      <c r="BI6" s="22"/>
      <c r="BJ6" s="22"/>
      <c r="BK6" s="161" t="e">
        <f>INDEX('WEG Motor'!$B$3:$AZ$55,
       MATCH(BI6,'WEG Motor'!$A$3:$A$55,0),
       MATCH(BJ6,'WEG Motor'!$B$2:$AZ$2,0))%</f>
        <v>#N/A</v>
      </c>
      <c r="BL6" s="161">
        <v>0.92</v>
      </c>
      <c r="BM6" s="161"/>
      <c r="BN6" s="162"/>
      <c r="BO6" s="163" t="e">
        <f>ROUND(((($BT$6*$BW$5*(C3*0.001)*D6)/1000)/BM6), 2)</f>
        <v>#DIV/0!</v>
      </c>
      <c r="BP6" s="22" t="e">
        <f t="shared" si="11"/>
        <v>#DIV/0!</v>
      </c>
      <c r="BQ6" s="242" t="e">
        <f t="shared" si="12"/>
        <v>#DIV/0!</v>
      </c>
      <c r="BR6" s="193"/>
      <c r="BS6" s="1" t="s">
        <v>22</v>
      </c>
      <c r="BT6" s="1">
        <v>999.78</v>
      </c>
      <c r="BU6" s="1"/>
      <c r="BV6" s="1" t="s">
        <v>25</v>
      </c>
      <c r="BW6" s="1" t="s">
        <v>26</v>
      </c>
      <c r="BX6" s="1"/>
      <c r="BY6" s="2"/>
      <c r="BZ6" s="1"/>
      <c r="CA6" s="1"/>
      <c r="CB6" s="1"/>
      <c r="CC6" s="1"/>
      <c r="CD6" s="1"/>
      <c r="CE6" s="1"/>
      <c r="CF6" s="1"/>
      <c r="CG6" s="1"/>
    </row>
    <row r="7" spans="1:85" x14ac:dyDescent="0.3">
      <c r="A7" s="309"/>
      <c r="B7" s="309"/>
      <c r="C7" s="312"/>
      <c r="D7" s="164">
        <v>35</v>
      </c>
      <c r="E7" s="166"/>
      <c r="F7" s="146"/>
      <c r="G7" s="146"/>
      <c r="H7" s="147" t="e">
        <f>INDEX('WEG Motor'!$B$3:$AZ$55,
       MATCH(F7,'WEG Motor'!$A$3:$A$55,0),
       MATCH(G7,'WEG Motor'!$B$2:$AZ$2,0))%</f>
        <v>#N/A</v>
      </c>
      <c r="I7" s="147">
        <v>0.92</v>
      </c>
      <c r="J7" s="283"/>
      <c r="K7" s="148"/>
      <c r="L7" s="286" t="e">
        <f t="shared" si="0"/>
        <v>#DIV/0!</v>
      </c>
      <c r="M7" s="146" t="e">
        <f t="shared" si="6"/>
        <v>#DIV/0!</v>
      </c>
      <c r="N7" s="237" t="e">
        <f t="shared" si="1"/>
        <v>#DIV/0!</v>
      </c>
      <c r="O7" s="167"/>
      <c r="P7" s="211"/>
      <c r="Q7" s="23"/>
      <c r="R7" s="23"/>
      <c r="S7" s="149" t="e">
        <f>INDEX('WEG Motor'!$B$3:$AZ$55,
       MATCH(Q7,'WEG Motor'!$A$3:$A$55,0),
       MATCH(R7,'WEG Motor'!$B$2:$AZ$2,0))%</f>
        <v>#N/A</v>
      </c>
      <c r="T7" s="149">
        <v>0.92</v>
      </c>
      <c r="U7" s="149"/>
      <c r="V7" s="150"/>
      <c r="W7" s="151" t="e">
        <f>ROUND(((($BT$6*$BW$5*(C3*0.001)*D7)/1000)/U7), 2)</f>
        <v>#DIV/0!</v>
      </c>
      <c r="X7" s="23" t="e">
        <f t="shared" si="7"/>
        <v>#DIV/0!</v>
      </c>
      <c r="Y7" s="238" t="e">
        <f t="shared" si="2"/>
        <v>#DIV/0!</v>
      </c>
      <c r="Z7" s="212"/>
      <c r="AA7" s="217"/>
      <c r="AB7" s="24"/>
      <c r="AC7" s="24"/>
      <c r="AD7" s="152" t="e">
        <f>INDEX('WEG Motor'!$B$3:$AZ$55,
       MATCH(AB7,'WEG Motor'!$A$3:$A$55,0),
       MATCH(AC7,'WEG Motor'!$B$2:$AZ$2,0))%</f>
        <v>#N/A</v>
      </c>
      <c r="AE7" s="152">
        <v>0.92</v>
      </c>
      <c r="AF7" s="152"/>
      <c r="AG7" s="153"/>
      <c r="AH7" s="154" t="e">
        <f>ROUND(((($BT$6*$BW$5*(C3*0.001)*D7)/1000)/AF7), 2)</f>
        <v>#DIV/0!</v>
      </c>
      <c r="AI7" s="24" t="e">
        <f t="shared" si="8"/>
        <v>#DIV/0!</v>
      </c>
      <c r="AJ7" s="239" t="e">
        <f t="shared" si="3"/>
        <v>#DIV/0!</v>
      </c>
      <c r="AK7" s="218"/>
      <c r="AL7" s="223"/>
      <c r="AM7" s="25"/>
      <c r="AN7" s="25"/>
      <c r="AO7" s="155" t="e">
        <f>INDEX('WEG Motor'!$B$3:$AZ$55,
       MATCH(AM7,'WEG Motor'!$A$3:$A$55,0),
       MATCH(AN7,'WEG Motor'!$B$2:$AZ$2,0))%</f>
        <v>#N/A</v>
      </c>
      <c r="AP7" s="155">
        <v>0.92</v>
      </c>
      <c r="AQ7" s="155"/>
      <c r="AR7" s="156"/>
      <c r="AS7" s="157" t="e">
        <f>ROUND(((($BT$6*$BW$5*(C3*0.001)*D7)/1000)/AQ7), 2)</f>
        <v>#DIV/0!</v>
      </c>
      <c r="AT7" s="25" t="e">
        <f t="shared" si="9"/>
        <v>#DIV/0!</v>
      </c>
      <c r="AU7" s="240" t="e">
        <f t="shared" si="4"/>
        <v>#DIV/0!</v>
      </c>
      <c r="AV7" s="224"/>
      <c r="AW7" s="229"/>
      <c r="AX7" s="12"/>
      <c r="AY7" s="12"/>
      <c r="AZ7" s="158" t="e">
        <f>INDEX('WEG Motor'!$B$3:$AZ$55,
       MATCH(AX7,'WEG Motor'!$A$3:$A$55,0),
       MATCH(AY7,'WEG Motor'!$B$2:$AZ$2,0))%</f>
        <v>#N/A</v>
      </c>
      <c r="BA7" s="158">
        <v>0.92</v>
      </c>
      <c r="BB7" s="158"/>
      <c r="BC7" s="159"/>
      <c r="BD7" s="160" t="e">
        <f>ROUND(((($BT$6*$BW$5*(C3*0.001)*D7)/1000)/BB7), 2)</f>
        <v>#DIV/0!</v>
      </c>
      <c r="BE7" s="12" t="e">
        <f t="shared" si="10"/>
        <v>#DIV/0!</v>
      </c>
      <c r="BF7" s="241" t="e">
        <f t="shared" si="5"/>
        <v>#DIV/0!</v>
      </c>
      <c r="BG7" s="230"/>
      <c r="BH7" s="234"/>
      <c r="BI7" s="22"/>
      <c r="BJ7" s="22"/>
      <c r="BK7" s="161" t="e">
        <f>INDEX('WEG Motor'!$B$3:$AZ$55,
       MATCH(BI7,'WEG Motor'!$A$3:$A$55,0),
       MATCH(BJ7,'WEG Motor'!$B$2:$AZ$2,0))%</f>
        <v>#N/A</v>
      </c>
      <c r="BL7" s="161">
        <v>0.92</v>
      </c>
      <c r="BM7" s="161"/>
      <c r="BN7" s="162"/>
      <c r="BO7" s="163" t="e">
        <f>ROUND(((($BT$6*$BW$5*(C3*0.001)*D7)/1000)/BM7), 2)</f>
        <v>#DIV/0!</v>
      </c>
      <c r="BP7" s="22" t="e">
        <f t="shared" si="11"/>
        <v>#DIV/0!</v>
      </c>
      <c r="BQ7" s="242" t="e">
        <f t="shared" si="12"/>
        <v>#DIV/0!</v>
      </c>
      <c r="BR7" s="193"/>
      <c r="BS7" s="1"/>
      <c r="BT7" s="1"/>
      <c r="BU7" s="1"/>
      <c r="BV7" s="1">
        <v>1</v>
      </c>
      <c r="BW7" s="1">
        <v>3.5169999999999999</v>
      </c>
      <c r="BX7" s="1"/>
      <c r="BY7" s="2" t="s">
        <v>21</v>
      </c>
      <c r="BZ7" s="1"/>
      <c r="CA7" s="1"/>
      <c r="CB7" s="1"/>
      <c r="CC7" s="1"/>
      <c r="CD7" s="1"/>
      <c r="CE7" s="1"/>
      <c r="CF7" s="1"/>
      <c r="CG7" s="1"/>
    </row>
    <row r="8" spans="1:85" x14ac:dyDescent="0.3">
      <c r="A8" s="309"/>
      <c r="B8" s="309"/>
      <c r="C8" s="312"/>
      <c r="D8" s="164">
        <v>40</v>
      </c>
      <c r="E8" s="166"/>
      <c r="F8" s="146"/>
      <c r="G8" s="146"/>
      <c r="H8" s="147" t="e">
        <f>INDEX('WEG Motor'!$B$3:$AZ$55,
       MATCH(F8,'WEG Motor'!$A$3:$A$55,0),
       MATCH(G8,'WEG Motor'!$B$2:$AZ$2,0))%</f>
        <v>#N/A</v>
      </c>
      <c r="I8" s="147">
        <v>0.92</v>
      </c>
      <c r="J8" s="283"/>
      <c r="K8" s="148"/>
      <c r="L8" s="286" t="e">
        <f>ROUND(((($BT$6*$BW$5*(C3*0.001)*D8)/1000)/J8), 2)</f>
        <v>#DIV/0!</v>
      </c>
      <c r="M8" s="146" t="e">
        <f t="shared" si="6"/>
        <v>#DIV/0!</v>
      </c>
      <c r="N8" s="237" t="e">
        <f t="shared" si="1"/>
        <v>#DIV/0!</v>
      </c>
      <c r="O8" s="167"/>
      <c r="P8" s="211"/>
      <c r="Q8" s="23"/>
      <c r="R8" s="23"/>
      <c r="S8" s="149" t="e">
        <f>INDEX('WEG Motor'!$B$3:$AZ$55,
       MATCH(Q8,'WEG Motor'!$A$3:$A$55,0),
       MATCH(R8,'WEG Motor'!$B$2:$AZ$2,0))%</f>
        <v>#N/A</v>
      </c>
      <c r="T8" s="149">
        <v>0.92</v>
      </c>
      <c r="U8" s="149"/>
      <c r="V8" s="150"/>
      <c r="W8" s="151" t="e">
        <f>ROUND(((($BT$6*$BW$5*(C3*0.001)*D8)/1000)/U8), 2)</f>
        <v>#DIV/0!</v>
      </c>
      <c r="X8" s="23" t="e">
        <f t="shared" si="7"/>
        <v>#DIV/0!</v>
      </c>
      <c r="Y8" s="238" t="e">
        <f t="shared" si="2"/>
        <v>#DIV/0!</v>
      </c>
      <c r="Z8" s="212"/>
      <c r="AA8" s="217"/>
      <c r="AB8" s="24"/>
      <c r="AC8" s="24"/>
      <c r="AD8" s="152" t="e">
        <f>INDEX('WEG Motor'!$B$3:$AZ$55,
       MATCH(AB8,'WEG Motor'!$A$3:$A$55,0),
       MATCH(AC8,'WEG Motor'!$B$2:$AZ$2,0))%</f>
        <v>#N/A</v>
      </c>
      <c r="AE8" s="152">
        <v>0.92</v>
      </c>
      <c r="AF8" s="152"/>
      <c r="AG8" s="153"/>
      <c r="AH8" s="154" t="e">
        <f>ROUND(((($BT$6*$BW$5*(C3*0.001)*D8)/1000)/AF8), 2)</f>
        <v>#DIV/0!</v>
      </c>
      <c r="AI8" s="24" t="e">
        <f t="shared" si="8"/>
        <v>#DIV/0!</v>
      </c>
      <c r="AJ8" s="239" t="e">
        <f t="shared" si="3"/>
        <v>#DIV/0!</v>
      </c>
      <c r="AK8" s="218"/>
      <c r="AL8" s="223"/>
      <c r="AM8" s="25"/>
      <c r="AN8" s="25"/>
      <c r="AO8" s="155" t="e">
        <f>INDEX('WEG Motor'!$B$3:$AZ$55,
       MATCH(AM8,'WEG Motor'!$A$3:$A$55,0),
       MATCH(AN8,'WEG Motor'!$B$2:$AZ$2,0))%</f>
        <v>#N/A</v>
      </c>
      <c r="AP8" s="155">
        <v>0.92</v>
      </c>
      <c r="AQ8" s="155"/>
      <c r="AR8" s="156"/>
      <c r="AS8" s="157" t="e">
        <f>ROUND(((($BT$6*$BW$5*(C3*0.001)*D8)/1000)/AQ8), 2)</f>
        <v>#DIV/0!</v>
      </c>
      <c r="AT8" s="25" t="e">
        <f t="shared" si="9"/>
        <v>#DIV/0!</v>
      </c>
      <c r="AU8" s="240" t="e">
        <f t="shared" si="4"/>
        <v>#DIV/0!</v>
      </c>
      <c r="AV8" s="224"/>
      <c r="AW8" s="229"/>
      <c r="AX8" s="12"/>
      <c r="AY8" s="12"/>
      <c r="AZ8" s="158" t="e">
        <f>INDEX('WEG Motor'!$B$3:$AZ$55,
       MATCH(AX8,'WEG Motor'!$A$3:$A$55,0),
       MATCH(AY8,'WEG Motor'!$B$2:$AZ$2,0))%</f>
        <v>#N/A</v>
      </c>
      <c r="BA8" s="158">
        <v>0.92</v>
      </c>
      <c r="BB8" s="158"/>
      <c r="BC8" s="159"/>
      <c r="BD8" s="160" t="e">
        <f>ROUND(((($BT$6*$BW$5*(C3*0.001)*D8)/1000)/BB8), 2)</f>
        <v>#DIV/0!</v>
      </c>
      <c r="BE8" s="12" t="e">
        <f t="shared" si="10"/>
        <v>#DIV/0!</v>
      </c>
      <c r="BF8" s="241" t="e">
        <f t="shared" si="5"/>
        <v>#DIV/0!</v>
      </c>
      <c r="BG8" s="230"/>
      <c r="BH8" s="234"/>
      <c r="BI8" s="22"/>
      <c r="BJ8" s="22"/>
      <c r="BK8" s="161" t="e">
        <f>INDEX('WEG Motor'!$B$3:$AZ$55,
       MATCH(BI8,'WEG Motor'!$A$3:$A$55,0),
       MATCH(BJ8,'WEG Motor'!$B$2:$AZ$2,0))%</f>
        <v>#N/A</v>
      </c>
      <c r="BL8" s="161">
        <v>0.92</v>
      </c>
      <c r="BM8" s="161"/>
      <c r="BN8" s="162"/>
      <c r="BO8" s="163" t="e">
        <f>ROUND(((($BT$6*$BW$5*(C3*0.001)*D8)/1000)/BM8), 2)</f>
        <v>#DIV/0!</v>
      </c>
      <c r="BP8" s="22" t="e">
        <f t="shared" si="11"/>
        <v>#DIV/0!</v>
      </c>
      <c r="BQ8" s="242" t="e">
        <f t="shared" si="12"/>
        <v>#DIV/0!</v>
      </c>
      <c r="BR8" s="193"/>
      <c r="BS8" s="1"/>
      <c r="BT8" s="1"/>
    </row>
    <row r="9" spans="1:85" ht="15" thickBot="1" x14ac:dyDescent="0.35">
      <c r="A9" s="310"/>
      <c r="B9" s="310"/>
      <c r="C9" s="313"/>
      <c r="D9" s="165">
        <v>45</v>
      </c>
      <c r="E9" s="168"/>
      <c r="F9" s="169"/>
      <c r="G9" s="169"/>
      <c r="H9" s="170" t="e">
        <f>INDEX('WEG Motor'!$B$3:$AZ$55,
       MATCH(F9,'WEG Motor'!$A$3:$A$55,0),
       MATCH(G9,'WEG Motor'!$B$2:$AZ$2,0))%</f>
        <v>#N/A</v>
      </c>
      <c r="I9" s="170">
        <v>0.92</v>
      </c>
      <c r="J9" s="284"/>
      <c r="K9" s="171"/>
      <c r="L9" s="287" t="e">
        <f>ROUND(((($BT$6*$BW$5*(C3*0.001)*D9)/1000)/J9), 2)</f>
        <v>#DIV/0!</v>
      </c>
      <c r="M9" s="169" t="e">
        <f t="shared" si="6"/>
        <v>#DIV/0!</v>
      </c>
      <c r="N9" s="247" t="e">
        <f t="shared" si="1"/>
        <v>#DIV/0!</v>
      </c>
      <c r="O9" s="172"/>
      <c r="P9" s="213"/>
      <c r="Q9" s="194"/>
      <c r="R9" s="194"/>
      <c r="S9" s="195" t="e">
        <f>INDEX('WEG Motor'!$B$3:$AZ$55,
       MATCH(Q9,'WEG Motor'!$A$3:$A$55,0),
       MATCH(R9,'WEG Motor'!$B$2:$AZ$2,0))%</f>
        <v>#N/A</v>
      </c>
      <c r="T9" s="195">
        <v>0.92</v>
      </c>
      <c r="U9" s="195"/>
      <c r="V9" s="196"/>
      <c r="W9" s="140" t="e">
        <f>ROUND(((($BT$6*$BW$5*(C3*0.001)*D9)/1000)/U9), 2)</f>
        <v>#DIV/0!</v>
      </c>
      <c r="X9" s="194" t="e">
        <f t="shared" si="7"/>
        <v>#DIV/0!</v>
      </c>
      <c r="Y9" s="246" t="e">
        <f t="shared" si="2"/>
        <v>#DIV/0!</v>
      </c>
      <c r="Z9" s="214"/>
      <c r="AA9" s="219"/>
      <c r="AB9" s="197"/>
      <c r="AC9" s="197"/>
      <c r="AD9" s="198" t="e">
        <f>INDEX('WEG Motor'!$B$3:$AZ$55,
       MATCH(AB9,'WEG Motor'!$A$3:$A$55,0),
       MATCH(AC9,'WEG Motor'!$B$2:$AZ$2,0))%</f>
        <v>#N/A</v>
      </c>
      <c r="AE9" s="198">
        <v>0.92</v>
      </c>
      <c r="AF9" s="198"/>
      <c r="AG9" s="199"/>
      <c r="AH9" s="141" t="e">
        <f>ROUND(((($BT$6*$BW$5*(C3*0.001)*D9)/1000)/AF9), 2)</f>
        <v>#DIV/0!</v>
      </c>
      <c r="AI9" s="197" t="e">
        <f t="shared" si="8"/>
        <v>#DIV/0!</v>
      </c>
      <c r="AJ9" s="245" t="e">
        <f t="shared" si="3"/>
        <v>#DIV/0!</v>
      </c>
      <c r="AK9" s="220"/>
      <c r="AL9" s="225"/>
      <c r="AM9" s="200"/>
      <c r="AN9" s="200"/>
      <c r="AO9" s="201" t="e">
        <f>INDEX('WEG Motor'!$B$3:$AZ$55,
       MATCH(AM9,'WEG Motor'!$A$3:$A$55,0),
       MATCH(AN9,'WEG Motor'!$B$2:$AZ$2,0))%</f>
        <v>#N/A</v>
      </c>
      <c r="AP9" s="201">
        <v>0.92</v>
      </c>
      <c r="AQ9" s="201"/>
      <c r="AR9" s="202"/>
      <c r="AS9" s="142" t="e">
        <f>ROUND(((($BT$6*$BW$5*(C3*0.001)*D9)/1000)/AQ9), 2)</f>
        <v>#DIV/0!</v>
      </c>
      <c r="AT9" s="200" t="e">
        <f t="shared" si="9"/>
        <v>#DIV/0!</v>
      </c>
      <c r="AU9" s="244" t="e">
        <f t="shared" si="4"/>
        <v>#DIV/0!</v>
      </c>
      <c r="AV9" s="226"/>
      <c r="AW9" s="231"/>
      <c r="AX9" s="203"/>
      <c r="AY9" s="203"/>
      <c r="AZ9" s="204" t="e">
        <f>INDEX('WEG Motor'!$B$3:$AZ$55,
       MATCH(AX9,'WEG Motor'!$A$3:$A$55,0),
       MATCH(AY9,'WEG Motor'!$B$2:$AZ$2,0))%</f>
        <v>#N/A</v>
      </c>
      <c r="BA9" s="204">
        <v>0.92</v>
      </c>
      <c r="BB9" s="204"/>
      <c r="BC9" s="205"/>
      <c r="BD9" s="143" t="e">
        <f>ROUND(((($BT$6*$BW$5*(C3*0.001)*D9)/1000)/BB9), 2)</f>
        <v>#DIV/0!</v>
      </c>
      <c r="BE9" s="203" t="e">
        <f t="shared" si="10"/>
        <v>#DIV/0!</v>
      </c>
      <c r="BF9" s="243" t="e">
        <f t="shared" si="5"/>
        <v>#DIV/0!</v>
      </c>
      <c r="BG9" s="232"/>
      <c r="BH9" s="235"/>
      <c r="BI9" s="66"/>
      <c r="BJ9" s="66"/>
      <c r="BK9" s="206" t="e">
        <f>INDEX('WEG Motor'!$B$3:$AZ$55,
       MATCH(BI9,'WEG Motor'!$A$3:$A$55,0),
       MATCH(BJ9,'WEG Motor'!$B$2:$AZ$2,0))%</f>
        <v>#N/A</v>
      </c>
      <c r="BL9" s="206">
        <v>0.92</v>
      </c>
      <c r="BM9" s="206"/>
      <c r="BN9" s="207"/>
      <c r="BO9" s="144" t="e">
        <f>ROUND(((($BT$6*$BW$5*(C3*0.001)*D9)/1000)/BM9), 2)</f>
        <v>#DIV/0!</v>
      </c>
      <c r="BP9" s="292" t="e">
        <f t="shared" si="11"/>
        <v>#DIV/0!</v>
      </c>
      <c r="BQ9" s="293" t="e">
        <f t="shared" si="12"/>
        <v>#DIV/0!</v>
      </c>
      <c r="BR9" s="208"/>
      <c r="BS9" s="1" t="s">
        <v>28</v>
      </c>
      <c r="BT9" s="1">
        <v>9.81</v>
      </c>
    </row>
    <row r="10" spans="1:85" x14ac:dyDescent="0.3">
      <c r="A10" s="308">
        <v>1</v>
      </c>
      <c r="B10" s="308">
        <v>300</v>
      </c>
      <c r="C10" s="311">
        <f>ROUND((B10 * $BW$7 * 1000) / ($BT$6 * $BW$3 * $BW$4), 0)</f>
        <v>36</v>
      </c>
      <c r="D10" s="145">
        <v>15</v>
      </c>
      <c r="E10" s="173"/>
      <c r="F10" s="53"/>
      <c r="G10" s="53"/>
      <c r="H10" s="174" t="e">
        <f>INDEX('WEG Motor'!$B$3:$AZ$55,
       MATCH(F10,'WEG Motor'!$A$3:$A$55,0),
       MATCH(G10,'WEG Motor'!$B$2:$AZ$2,0))%</f>
        <v>#N/A</v>
      </c>
      <c r="I10" s="174">
        <v>0.92</v>
      </c>
      <c r="J10" s="282"/>
      <c r="K10" s="175"/>
      <c r="L10" s="285" t="e">
        <f t="shared" ref="L10" si="13">ROUND(((($BT$6*$BW$5*(C10*0.001)*D10)/1000)/J10), 2)</f>
        <v>#DIV/0!</v>
      </c>
      <c r="M10" s="53" t="e">
        <f>ROUND((L10/H10),2)</f>
        <v>#DIV/0!</v>
      </c>
      <c r="N10" s="236" t="e">
        <f t="shared" ref="N10:N73" si="14">ROUND((M10/I10), 2)</f>
        <v>#DIV/0!</v>
      </c>
      <c r="O10" s="176"/>
      <c r="P10" s="209" t="s">
        <v>151</v>
      </c>
      <c r="Q10" s="177">
        <v>7.5</v>
      </c>
      <c r="R10" s="177" t="s">
        <v>35</v>
      </c>
      <c r="S10" s="178">
        <f>INDEX('WEG Motor'!$B$3:$AZ$55,
       MATCH(Q10,'WEG Motor'!$A$3:$A$55,0),
       MATCH(R10,'WEG Motor'!$B$2:$AZ$2,0))%</f>
        <v>0.90599999999999992</v>
      </c>
      <c r="T10" s="178">
        <v>0.92</v>
      </c>
      <c r="U10" s="178">
        <v>0.80759999999999998</v>
      </c>
      <c r="V10" s="179">
        <v>1.865</v>
      </c>
      <c r="W10" s="297">
        <f>ROUND(((($BT$6*$BW$5*(C10*0.001)*D10)/1000)/U10), 2)</f>
        <v>6.56</v>
      </c>
      <c r="X10" s="177">
        <f>ROUND((W10/S10),2)</f>
        <v>7.24</v>
      </c>
      <c r="Y10" s="276">
        <f t="shared" ref="Y10:Y73" si="15">ROUND((X10/T10), 2)</f>
        <v>7.87</v>
      </c>
      <c r="Z10" s="210"/>
      <c r="AA10" s="215" t="s">
        <v>128</v>
      </c>
      <c r="AB10" s="180">
        <v>7.5</v>
      </c>
      <c r="AC10" s="180" t="s">
        <v>35</v>
      </c>
      <c r="AD10" s="181">
        <f>INDEX('WEG Motor'!$B$3:$AZ$55,
       MATCH(AB10,'WEG Motor'!$A$3:$A$55,0),
       MATCH(AC10,'WEG Motor'!$B$2:$AZ$2,0))%</f>
        <v>0.90599999999999992</v>
      </c>
      <c r="AE10" s="181">
        <v>0.92</v>
      </c>
      <c r="AF10" s="181">
        <v>0.80759999999999998</v>
      </c>
      <c r="AG10" s="182">
        <v>1.865</v>
      </c>
      <c r="AH10" s="296">
        <f>ROUND(((($BT$6*$BW$5*(C10*0.001)*D10)/1000)/AF10), 2)</f>
        <v>6.56</v>
      </c>
      <c r="AI10" s="180">
        <f>ROUND((AH10/AD10),2)</f>
        <v>7.24</v>
      </c>
      <c r="AJ10" s="277">
        <f t="shared" ref="AJ10:AJ73" si="16">ROUND((AI10/AE10), 2)</f>
        <v>7.87</v>
      </c>
      <c r="AK10" s="216"/>
      <c r="AL10" s="221" t="s">
        <v>126</v>
      </c>
      <c r="AM10" s="183">
        <v>7.5</v>
      </c>
      <c r="AN10" s="183" t="s">
        <v>35</v>
      </c>
      <c r="AO10" s="184">
        <f>INDEX('WEG Motor'!$B$3:$AZ$55,
       MATCH(AM10,'WEG Motor'!$A$3:$A$55,0),
       MATCH(AN10,'WEG Motor'!$B$2:$AZ$2,0))%</f>
        <v>0.90599999999999992</v>
      </c>
      <c r="AP10" s="184">
        <v>0.92</v>
      </c>
      <c r="AQ10" s="184">
        <v>0.81930000000000003</v>
      </c>
      <c r="AR10" s="185">
        <v>1.728</v>
      </c>
      <c r="AS10" s="295">
        <f>ROUND(((($BT$6*$BW$5*(C10*0.001)*D10)/1000)/AQ10), 2)</f>
        <v>6.46</v>
      </c>
      <c r="AT10" s="183">
        <f>ROUND((AS10/AO10),2)</f>
        <v>7.13</v>
      </c>
      <c r="AU10" s="278">
        <f t="shared" ref="AU10:AU73" si="17">ROUND((AT10/AP10), 2)</f>
        <v>7.75</v>
      </c>
      <c r="AV10" s="222"/>
      <c r="AW10" s="227"/>
      <c r="AX10" s="186">
        <v>7.5</v>
      </c>
      <c r="AY10" s="186" t="s">
        <v>35</v>
      </c>
      <c r="AZ10" s="187">
        <f>INDEX('WEG Motor'!$B$3:$AZ$55,
       MATCH(AX10,'WEG Motor'!$A$3:$A$55,0),
       MATCH(AY10,'WEG Motor'!$B$2:$AZ$2,0))%</f>
        <v>0.90599999999999992</v>
      </c>
      <c r="BA10" s="187">
        <v>0.92</v>
      </c>
      <c r="BB10" s="187">
        <v>0.83709999999999996</v>
      </c>
      <c r="BC10" s="188">
        <v>4.09</v>
      </c>
      <c r="BD10" s="294">
        <f>ROUND(((($BT$6*$BW$5*(C10*0.001)*D10)/1000)/BB10), 2)</f>
        <v>6.33</v>
      </c>
      <c r="BE10" s="186">
        <f>ROUND((BD10/AZ10),2)</f>
        <v>6.99</v>
      </c>
      <c r="BF10" s="279">
        <f t="shared" ref="BF10:BF73" si="18">ROUND((BE10/BA10), 2)</f>
        <v>7.6</v>
      </c>
      <c r="BG10" s="228"/>
      <c r="BH10" s="233"/>
      <c r="BI10" s="189"/>
      <c r="BJ10" s="189"/>
      <c r="BK10" s="190" t="e">
        <f>INDEX('WEG Motor'!$B$3:$AZ$55,
       MATCH(BI10,'WEG Motor'!$A$3:$A$55,0),
       MATCH(BJ10,'WEG Motor'!$B$2:$AZ$2,0))%</f>
        <v>#N/A</v>
      </c>
      <c r="BL10" s="190">
        <v>0.92</v>
      </c>
      <c r="BM10" s="190"/>
      <c r="BN10" s="191"/>
      <c r="BO10" s="289" t="e">
        <f>ROUND(((($BT$6*$BW$5*(C10*0.001)*D10)/1000)/BM10), 2)</f>
        <v>#DIV/0!</v>
      </c>
      <c r="BP10" s="290" t="e">
        <f>ROUND((BO10/BK10),2)</f>
        <v>#DIV/0!</v>
      </c>
      <c r="BQ10" s="291" t="e">
        <f>ROUND((BP10/BL10), 2)</f>
        <v>#DIV/0!</v>
      </c>
      <c r="BR10" s="192"/>
    </row>
    <row r="11" spans="1:85" x14ac:dyDescent="0.3">
      <c r="A11" s="309"/>
      <c r="B11" s="309"/>
      <c r="C11" s="312"/>
      <c r="D11" s="164">
        <v>20</v>
      </c>
      <c r="E11" s="166"/>
      <c r="F11" s="146"/>
      <c r="G11" s="146"/>
      <c r="H11" s="147" t="e">
        <f>INDEX('WEG Motor'!$B$3:$AZ$55,
       MATCH(F11,'WEG Motor'!$A$3:$A$55,0),
       MATCH(G11,'WEG Motor'!$B$2:$AZ$2,0))%</f>
        <v>#N/A</v>
      </c>
      <c r="I11" s="147">
        <v>0.92</v>
      </c>
      <c r="J11" s="283"/>
      <c r="K11" s="148"/>
      <c r="L11" s="286" t="e">
        <f>ROUND(((($BT$6*$BW$5*(C10*0.001)*D11)/1000)/J11), 2)</f>
        <v>#DIV/0!</v>
      </c>
      <c r="M11" s="146" t="e">
        <f t="shared" ref="M11:M16" si="19">ROUND((L11/H11),2)</f>
        <v>#DIV/0!</v>
      </c>
      <c r="N11" s="237" t="e">
        <f t="shared" si="14"/>
        <v>#DIV/0!</v>
      </c>
      <c r="O11" s="167"/>
      <c r="P11" s="211" t="s">
        <v>77</v>
      </c>
      <c r="Q11" s="23">
        <v>11</v>
      </c>
      <c r="R11" s="23" t="s">
        <v>35</v>
      </c>
      <c r="S11" s="149">
        <f>INDEX('WEG Motor'!$B$3:$AZ$55,
       MATCH(Q11,'WEG Motor'!$A$3:$A$55,0),
       MATCH(R11,'WEG Motor'!$B$2:$AZ$2,0))%</f>
        <v>0.91400000000000003</v>
      </c>
      <c r="T11" s="149">
        <v>0.92</v>
      </c>
      <c r="U11" s="149">
        <v>0.82809999999999995</v>
      </c>
      <c r="V11" s="150">
        <v>1.865</v>
      </c>
      <c r="W11" s="151">
        <f>ROUND(((($BT$6*$BW$5*(C10*0.001)*D11)/1000)/U11), 2)</f>
        <v>8.5299999999999994</v>
      </c>
      <c r="X11" s="23">
        <f t="shared" ref="X11:X16" si="20">ROUND((W11/S11),2)</f>
        <v>9.33</v>
      </c>
      <c r="Y11" s="238">
        <f t="shared" si="15"/>
        <v>10.14</v>
      </c>
      <c r="Z11" s="212"/>
      <c r="AA11" s="217" t="s">
        <v>80</v>
      </c>
      <c r="AB11" s="24">
        <v>11</v>
      </c>
      <c r="AC11" s="24" t="s">
        <v>35</v>
      </c>
      <c r="AD11" s="152">
        <f>INDEX('WEG Motor'!$B$3:$AZ$55,
       MATCH(AB11,'WEG Motor'!$A$3:$A$55,0),
       MATCH(AC11,'WEG Motor'!$B$2:$AZ$2,0))%</f>
        <v>0.91400000000000003</v>
      </c>
      <c r="AE11" s="152">
        <v>0.92</v>
      </c>
      <c r="AF11" s="152">
        <v>0.82809999999999995</v>
      </c>
      <c r="AG11" s="153">
        <v>1.865</v>
      </c>
      <c r="AH11" s="154">
        <f>ROUND(((($BT$6*$BW$5*(C10*0.001)*D11)/1000)/AF11), 2)</f>
        <v>8.5299999999999994</v>
      </c>
      <c r="AI11" s="24">
        <f t="shared" ref="AI11:AI16" si="21">ROUND((AH11/AD11),2)</f>
        <v>9.33</v>
      </c>
      <c r="AJ11" s="239">
        <f t="shared" si="16"/>
        <v>10.14</v>
      </c>
      <c r="AK11" s="218"/>
      <c r="AL11" s="223" t="s">
        <v>78</v>
      </c>
      <c r="AM11" s="25">
        <v>11</v>
      </c>
      <c r="AN11" s="25" t="s">
        <v>35</v>
      </c>
      <c r="AO11" s="155">
        <f>INDEX('WEG Motor'!$B$3:$AZ$55,
       MATCH(AM11,'WEG Motor'!$A$3:$A$55,0),
       MATCH(AN11,'WEG Motor'!$B$2:$AZ$2,0))%</f>
        <v>0.91400000000000003</v>
      </c>
      <c r="AP11" s="155">
        <v>0.92</v>
      </c>
      <c r="AQ11" s="155">
        <v>0.81240000000000001</v>
      </c>
      <c r="AR11" s="156">
        <v>1.728</v>
      </c>
      <c r="AS11" s="157">
        <f>ROUND(((($BT$6*$BW$5*(C10*0.001)*D11)/1000)/AQ11), 2)</f>
        <v>8.69</v>
      </c>
      <c r="AT11" s="25">
        <f t="shared" ref="AT11:AT16" si="22">ROUND((AS11/AO11),2)</f>
        <v>9.51</v>
      </c>
      <c r="AU11" s="240">
        <f t="shared" si="17"/>
        <v>10.34</v>
      </c>
      <c r="AV11" s="224"/>
      <c r="AW11" s="229"/>
      <c r="AX11" s="12"/>
      <c r="AY11" s="12"/>
      <c r="AZ11" s="158" t="e">
        <f>INDEX('WEG Motor'!$B$3:$AZ$55,
       MATCH(AX11,'WEG Motor'!$A$3:$A$55,0),
       MATCH(AY11,'WEG Motor'!$B$2:$AZ$2,0))%</f>
        <v>#N/A</v>
      </c>
      <c r="BA11" s="158">
        <v>0.92</v>
      </c>
      <c r="BB11" s="158"/>
      <c r="BC11" s="159"/>
      <c r="BD11" s="160" t="e">
        <f>ROUND(((($BT$6*$BW$5*(C10*0.001)*D11)/1000)/BB11), 2)</f>
        <v>#DIV/0!</v>
      </c>
      <c r="BE11" s="12" t="e">
        <f t="shared" ref="BE11:BE16" si="23">ROUND((BD11/AZ11),2)</f>
        <v>#DIV/0!</v>
      </c>
      <c r="BF11" s="241" t="e">
        <f t="shared" si="18"/>
        <v>#DIV/0!</v>
      </c>
      <c r="BG11" s="230"/>
      <c r="BH11" s="234"/>
      <c r="BI11" s="22"/>
      <c r="BJ11" s="22"/>
      <c r="BK11" s="161" t="e">
        <f>INDEX('WEG Motor'!$B$3:$AZ$55,
       MATCH(BI11,'WEG Motor'!$A$3:$A$55,0),
       MATCH(BJ11,'WEG Motor'!$B$2:$AZ$2,0))%</f>
        <v>#N/A</v>
      </c>
      <c r="BL11" s="161">
        <v>0.92</v>
      </c>
      <c r="BM11" s="161"/>
      <c r="BN11" s="162"/>
      <c r="BO11" s="163" t="e">
        <f>ROUND(((($BT$6*$BW$5*(C10*0.001)*D11)/1000)/BM11), 2)</f>
        <v>#DIV/0!</v>
      </c>
      <c r="BP11" s="22" t="e">
        <f t="shared" ref="BP11:BP16" si="24">ROUND((BO11/BK11),2)</f>
        <v>#DIV/0!</v>
      </c>
      <c r="BQ11" s="242" t="e">
        <f t="shared" ref="BQ11:BQ16" si="25">ROUND((BP11/BL11), 2)</f>
        <v>#DIV/0!</v>
      </c>
      <c r="BR11" s="193"/>
    </row>
    <row r="12" spans="1:85" x14ac:dyDescent="0.3">
      <c r="A12" s="309"/>
      <c r="B12" s="309"/>
      <c r="C12" s="312"/>
      <c r="D12" s="164">
        <v>25</v>
      </c>
      <c r="E12" s="166"/>
      <c r="F12" s="146"/>
      <c r="G12" s="146"/>
      <c r="H12" s="147" t="e">
        <f>INDEX('WEG Motor'!$B$3:$AZ$55,
       MATCH(F12,'WEG Motor'!$A$3:$A$55,0),
       MATCH(G12,'WEG Motor'!$B$2:$AZ$2,0))%</f>
        <v>#N/A</v>
      </c>
      <c r="I12" s="147">
        <v>0.92</v>
      </c>
      <c r="J12" s="283"/>
      <c r="K12" s="148"/>
      <c r="L12" s="286" t="e">
        <f>ROUND(((($BT$6*$BW$5*(C10*0.001)*D12)/1000)/J12), 2)</f>
        <v>#DIV/0!</v>
      </c>
      <c r="M12" s="146" t="e">
        <f t="shared" si="19"/>
        <v>#DIV/0!</v>
      </c>
      <c r="N12" s="237" t="e">
        <f t="shared" si="14"/>
        <v>#DIV/0!</v>
      </c>
      <c r="O12" s="167"/>
      <c r="P12" s="211" t="s">
        <v>41</v>
      </c>
      <c r="Q12" s="23">
        <v>15</v>
      </c>
      <c r="R12" s="23" t="s">
        <v>35</v>
      </c>
      <c r="S12" s="149">
        <f>INDEX('WEG Motor'!$B$3:$AZ$55,
       MATCH(Q12,'WEG Motor'!$A$3:$A$55,0),
       MATCH(R12,'WEG Motor'!$B$2:$AZ$2,0))%</f>
        <v>0.92099999999999993</v>
      </c>
      <c r="T12" s="149">
        <v>0.92</v>
      </c>
      <c r="U12" s="149">
        <v>0.82069999999999999</v>
      </c>
      <c r="V12" s="150">
        <v>1.865</v>
      </c>
      <c r="W12" s="151">
        <f>ROUND(((($BT$6*$BW$5*(C10*0.001)*D12)/1000)/U12), 2)</f>
        <v>10.76</v>
      </c>
      <c r="X12" s="23">
        <f t="shared" si="20"/>
        <v>11.68</v>
      </c>
      <c r="Y12" s="238">
        <f t="shared" si="15"/>
        <v>12.7</v>
      </c>
      <c r="Z12" s="212"/>
      <c r="AA12" s="217" t="s">
        <v>42</v>
      </c>
      <c r="AB12" s="24">
        <v>15</v>
      </c>
      <c r="AC12" s="24" t="s">
        <v>35</v>
      </c>
      <c r="AD12" s="152">
        <f>INDEX('WEG Motor'!$B$3:$AZ$55,
       MATCH(AB12,'WEG Motor'!$A$3:$A$55,0),
       MATCH(AC12,'WEG Motor'!$B$2:$AZ$2,0))%</f>
        <v>0.92099999999999993</v>
      </c>
      <c r="AE12" s="152">
        <v>0.92</v>
      </c>
      <c r="AF12" s="152">
        <v>0.82069999999999999</v>
      </c>
      <c r="AG12" s="153">
        <v>1.865</v>
      </c>
      <c r="AH12" s="154">
        <f>ROUND(((($BT$6*$BW$5*(C10*0.001)*D12)/1000)/AF12), 2)</f>
        <v>10.76</v>
      </c>
      <c r="AI12" s="24">
        <f t="shared" si="21"/>
        <v>11.68</v>
      </c>
      <c r="AJ12" s="239">
        <f t="shared" si="16"/>
        <v>12.7</v>
      </c>
      <c r="AK12" s="218"/>
      <c r="AL12" s="223" t="s">
        <v>45</v>
      </c>
      <c r="AM12" s="25">
        <v>15</v>
      </c>
      <c r="AN12" s="25" t="s">
        <v>35</v>
      </c>
      <c r="AO12" s="155">
        <f>INDEX('WEG Motor'!$B$3:$AZ$55,
       MATCH(AM12,'WEG Motor'!$A$3:$A$55,0),
       MATCH(AN12,'WEG Motor'!$B$2:$AZ$2,0))%</f>
        <v>0.92099999999999993</v>
      </c>
      <c r="AP12" s="155">
        <v>0.92</v>
      </c>
      <c r="AQ12" s="155">
        <v>0.80369999999999997</v>
      </c>
      <c r="AR12" s="156">
        <v>1.7270000000000001</v>
      </c>
      <c r="AS12" s="157">
        <f>ROUND(((($BT$6*$BW$5*(C10*0.001)*D12)/1000)/AQ12), 2)</f>
        <v>10.98</v>
      </c>
      <c r="AT12" s="25">
        <f t="shared" si="22"/>
        <v>11.92</v>
      </c>
      <c r="AU12" s="240">
        <f t="shared" si="17"/>
        <v>12.96</v>
      </c>
      <c r="AV12" s="224"/>
      <c r="AW12" s="229"/>
      <c r="AX12" s="12"/>
      <c r="AY12" s="12"/>
      <c r="AZ12" s="158" t="e">
        <f>INDEX('WEG Motor'!$B$3:$AZ$55,
       MATCH(AX12,'WEG Motor'!$A$3:$A$55,0),
       MATCH(AY12,'WEG Motor'!$B$2:$AZ$2,0))%</f>
        <v>#N/A</v>
      </c>
      <c r="BA12" s="158">
        <v>0.92</v>
      </c>
      <c r="BB12" s="158"/>
      <c r="BC12" s="159"/>
      <c r="BD12" s="160" t="e">
        <f>ROUND(((($BT$6*$BW$5*(C10*0.001)*D12)/1000)/BB12), 2)</f>
        <v>#DIV/0!</v>
      </c>
      <c r="BE12" s="12" t="e">
        <f t="shared" si="23"/>
        <v>#DIV/0!</v>
      </c>
      <c r="BF12" s="241" t="e">
        <f t="shared" si="18"/>
        <v>#DIV/0!</v>
      </c>
      <c r="BG12" s="230"/>
      <c r="BH12" s="234"/>
      <c r="BI12" s="22"/>
      <c r="BJ12" s="22"/>
      <c r="BK12" s="161" t="e">
        <f>INDEX('WEG Motor'!$B$3:$AZ$55,
       MATCH(BI12,'WEG Motor'!$A$3:$A$55,0),
       MATCH(BJ12,'WEG Motor'!$B$2:$AZ$2,0))%</f>
        <v>#N/A</v>
      </c>
      <c r="BL12" s="161">
        <v>0.92</v>
      </c>
      <c r="BM12" s="161"/>
      <c r="BN12" s="162"/>
      <c r="BO12" s="163" t="e">
        <f>ROUND(((($BT$6*$BW$5*(C10*0.001)*D12)/1000)/BM12), 2)</f>
        <v>#DIV/0!</v>
      </c>
      <c r="BP12" s="22" t="e">
        <f t="shared" si="24"/>
        <v>#DIV/0!</v>
      </c>
      <c r="BQ12" s="242" t="e">
        <f t="shared" si="25"/>
        <v>#DIV/0!</v>
      </c>
      <c r="BR12" s="193"/>
    </row>
    <row r="13" spans="1:85" x14ac:dyDescent="0.3">
      <c r="A13" s="309"/>
      <c r="B13" s="309"/>
      <c r="C13" s="312"/>
      <c r="D13" s="164">
        <v>30</v>
      </c>
      <c r="E13" s="166"/>
      <c r="F13" s="146"/>
      <c r="G13" s="146"/>
      <c r="H13" s="147" t="e">
        <f>INDEX('WEG Motor'!$B$3:$AZ$55,
       MATCH(F13,'WEG Motor'!$A$3:$A$55,0),
       MATCH(G13,'WEG Motor'!$B$2:$AZ$2,0))%</f>
        <v>#N/A</v>
      </c>
      <c r="I13" s="147">
        <v>0.92</v>
      </c>
      <c r="J13" s="283"/>
      <c r="K13" s="148"/>
      <c r="L13" s="286" t="e">
        <f>ROUND(((($BT$6*$BW$5*(C10*0.001)*D13)/1000)/J13), 2)</f>
        <v>#DIV/0!</v>
      </c>
      <c r="M13" s="146" t="e">
        <f t="shared" si="19"/>
        <v>#DIV/0!</v>
      </c>
      <c r="N13" s="237" t="e">
        <f t="shared" si="14"/>
        <v>#DIV/0!</v>
      </c>
      <c r="O13" s="167"/>
      <c r="P13" s="211"/>
      <c r="Q13" s="23"/>
      <c r="R13" s="23"/>
      <c r="S13" s="149" t="e">
        <f>INDEX('WEG Motor'!$B$3:$AZ$55,
       MATCH(Q13,'WEG Motor'!$A$3:$A$55,0),
       MATCH(R13,'WEG Motor'!$B$2:$AZ$2,0))%</f>
        <v>#N/A</v>
      </c>
      <c r="T13" s="149">
        <v>0.92</v>
      </c>
      <c r="U13" s="149"/>
      <c r="V13" s="150"/>
      <c r="W13" s="151" t="e">
        <f>ROUND(((($BT$6*$BW$5*(C10*0.001)*D13)/1000)/U13), 2)</f>
        <v>#DIV/0!</v>
      </c>
      <c r="X13" s="23" t="e">
        <f t="shared" si="20"/>
        <v>#DIV/0!</v>
      </c>
      <c r="Y13" s="238" t="e">
        <f t="shared" si="15"/>
        <v>#DIV/0!</v>
      </c>
      <c r="Z13" s="212"/>
      <c r="AA13" s="217" t="s">
        <v>47</v>
      </c>
      <c r="AB13" s="24">
        <v>18.5</v>
      </c>
      <c r="AC13" s="24" t="s">
        <v>35</v>
      </c>
      <c r="AD13" s="152">
        <f>INDEX('WEG Motor'!$B$3:$AZ$55,
       MATCH(AB13,'WEG Motor'!$A$3:$A$55,0),
       MATCH(AC13,'WEG Motor'!$B$2:$AZ$2,0))%</f>
        <v>0.92599999999999993</v>
      </c>
      <c r="AE13" s="152">
        <v>0.92</v>
      </c>
      <c r="AF13" s="152">
        <v>0.79220000000000002</v>
      </c>
      <c r="AG13" s="153">
        <v>1.95</v>
      </c>
      <c r="AH13" s="154">
        <f>ROUND(((($BT$6*$BW$5*(C10*0.001)*D13)/1000)/AF13), 2)</f>
        <v>13.37</v>
      </c>
      <c r="AI13" s="24">
        <f t="shared" si="21"/>
        <v>14.44</v>
      </c>
      <c r="AJ13" s="239">
        <f t="shared" si="16"/>
        <v>15.7</v>
      </c>
      <c r="AK13" s="218"/>
      <c r="AL13" s="223" t="s">
        <v>127</v>
      </c>
      <c r="AM13" s="25">
        <v>18.5</v>
      </c>
      <c r="AN13" s="25" t="s">
        <v>35</v>
      </c>
      <c r="AO13" s="155">
        <f>INDEX('WEG Motor'!$B$3:$AZ$55,
       MATCH(AM13,'WEG Motor'!$A$3:$A$55,0),
       MATCH(AN13,'WEG Motor'!$B$2:$AZ$2,0))%</f>
        <v>0.92599999999999993</v>
      </c>
      <c r="AP13" s="155">
        <v>0.92</v>
      </c>
      <c r="AQ13" s="155">
        <v>0.77959999999999996</v>
      </c>
      <c r="AR13" s="156">
        <v>2.5619999999999998</v>
      </c>
      <c r="AS13" s="157">
        <f>ROUND(((($BT$6*$BW$5*(C10*0.001)*D13)/1000)/AQ13), 2)</f>
        <v>13.59</v>
      </c>
      <c r="AT13" s="25">
        <f t="shared" si="22"/>
        <v>14.68</v>
      </c>
      <c r="AU13" s="240">
        <f t="shared" si="17"/>
        <v>15.96</v>
      </c>
      <c r="AV13" s="224"/>
      <c r="AW13" s="229"/>
      <c r="AX13" s="12"/>
      <c r="AY13" s="12"/>
      <c r="AZ13" s="158" t="e">
        <f>INDEX('WEG Motor'!$B$3:$AZ$55,
       MATCH(AX13,'WEG Motor'!$A$3:$A$55,0),
       MATCH(AY13,'WEG Motor'!$B$2:$AZ$2,0))%</f>
        <v>#N/A</v>
      </c>
      <c r="BA13" s="158">
        <v>0.92</v>
      </c>
      <c r="BB13" s="158"/>
      <c r="BC13" s="159"/>
      <c r="BD13" s="160" t="e">
        <f>ROUND(((($BT$6*$BW$5*(C10*0.001)*D13)/1000)/BB13), 2)</f>
        <v>#DIV/0!</v>
      </c>
      <c r="BE13" s="12" t="e">
        <f t="shared" si="23"/>
        <v>#DIV/0!</v>
      </c>
      <c r="BF13" s="241" t="e">
        <f t="shared" si="18"/>
        <v>#DIV/0!</v>
      </c>
      <c r="BG13" s="230"/>
      <c r="BH13" s="234"/>
      <c r="BI13" s="22"/>
      <c r="BJ13" s="22"/>
      <c r="BK13" s="161" t="e">
        <f>INDEX('WEG Motor'!$B$3:$AZ$55,
       MATCH(BI13,'WEG Motor'!$A$3:$A$55,0),
       MATCH(BJ13,'WEG Motor'!$B$2:$AZ$2,0))%</f>
        <v>#N/A</v>
      </c>
      <c r="BL13" s="161">
        <v>0.92</v>
      </c>
      <c r="BM13" s="161"/>
      <c r="BN13" s="162"/>
      <c r="BO13" s="163" t="e">
        <f>ROUND(((($BT$6*$BW$5*(C10*0.001)*D13)/1000)/BM13), 2)</f>
        <v>#DIV/0!</v>
      </c>
      <c r="BP13" s="22" t="e">
        <f t="shared" si="24"/>
        <v>#DIV/0!</v>
      </c>
      <c r="BQ13" s="242" t="e">
        <f t="shared" si="25"/>
        <v>#DIV/0!</v>
      </c>
      <c r="BR13" s="193"/>
    </row>
    <row r="14" spans="1:85" x14ac:dyDescent="0.3">
      <c r="A14" s="309"/>
      <c r="B14" s="309"/>
      <c r="C14" s="312"/>
      <c r="D14" s="164">
        <v>35</v>
      </c>
      <c r="E14" s="166"/>
      <c r="F14" s="146"/>
      <c r="G14" s="146"/>
      <c r="H14" s="147" t="e">
        <f>INDEX('WEG Motor'!$B$3:$AZ$55,
       MATCH(F14,'WEG Motor'!$A$3:$A$55,0),
       MATCH(G14,'WEG Motor'!$B$2:$AZ$2,0))%</f>
        <v>#N/A</v>
      </c>
      <c r="I14" s="147">
        <v>0.92</v>
      </c>
      <c r="J14" s="283"/>
      <c r="K14" s="148"/>
      <c r="L14" s="286" t="e">
        <f t="shared" ref="L14" si="26">ROUND(((($BT$6*$BW$5*(C14*0.001)*D14)/1000)/J14), 2)</f>
        <v>#DIV/0!</v>
      </c>
      <c r="M14" s="146" t="e">
        <f t="shared" si="19"/>
        <v>#DIV/0!</v>
      </c>
      <c r="N14" s="237" t="e">
        <f t="shared" si="14"/>
        <v>#DIV/0!</v>
      </c>
      <c r="O14" s="167"/>
      <c r="P14" s="211" t="s">
        <v>152</v>
      </c>
      <c r="Q14" s="23">
        <v>18.5</v>
      </c>
      <c r="R14" s="23" t="s">
        <v>35</v>
      </c>
      <c r="S14" s="149">
        <f>INDEX('WEG Motor'!$B$3:$AZ$55,
       MATCH(Q14,'WEG Motor'!$A$3:$A$55,0),
       MATCH(R14,'WEG Motor'!$B$2:$AZ$2,0))%</f>
        <v>0.92599999999999993</v>
      </c>
      <c r="T14" s="149">
        <v>0.92</v>
      </c>
      <c r="U14" s="149">
        <v>0.78139999999999998</v>
      </c>
      <c r="V14" s="150">
        <v>3.7050000000000001</v>
      </c>
      <c r="W14" s="151">
        <f>ROUND(((($BT$6*$BW$5*(C10*0.001)*D14)/1000)/U14), 2)</f>
        <v>15.82</v>
      </c>
      <c r="X14" s="23">
        <f t="shared" si="20"/>
        <v>17.079999999999998</v>
      </c>
      <c r="Y14" s="238">
        <f t="shared" si="15"/>
        <v>18.57</v>
      </c>
      <c r="Z14" s="212"/>
      <c r="AA14" s="217" t="s">
        <v>129</v>
      </c>
      <c r="AB14" s="24">
        <v>18.5</v>
      </c>
      <c r="AC14" s="24" t="s">
        <v>35</v>
      </c>
      <c r="AD14" s="152">
        <f>INDEX('WEG Motor'!$B$3:$AZ$55,
       MATCH(AB14,'WEG Motor'!$A$3:$A$55,0),
       MATCH(AC14,'WEG Motor'!$B$2:$AZ$2,0))%</f>
        <v>0.92599999999999993</v>
      </c>
      <c r="AE14" s="152">
        <v>0.92</v>
      </c>
      <c r="AF14" s="152">
        <v>0.78139999999999998</v>
      </c>
      <c r="AG14" s="153">
        <v>3.7050000000000001</v>
      </c>
      <c r="AH14" s="154">
        <f>ROUND(((($BT$6*$BW$5*(C10*0.001)*D14)/1000)/AF14), 2)</f>
        <v>15.82</v>
      </c>
      <c r="AI14" s="24">
        <f t="shared" si="21"/>
        <v>17.079999999999998</v>
      </c>
      <c r="AJ14" s="239">
        <f t="shared" si="16"/>
        <v>18.57</v>
      </c>
      <c r="AK14" s="218"/>
      <c r="AL14" s="223"/>
      <c r="AM14" s="25"/>
      <c r="AN14" s="25"/>
      <c r="AO14" s="155" t="e">
        <f>INDEX('WEG Motor'!$B$3:$AZ$55,
       MATCH(AM14,'WEG Motor'!$A$3:$A$55,0),
       MATCH(AN14,'WEG Motor'!$B$2:$AZ$2,0))%</f>
        <v>#N/A</v>
      </c>
      <c r="AP14" s="155">
        <v>0.92</v>
      </c>
      <c r="AQ14" s="155"/>
      <c r="AR14" s="156"/>
      <c r="AS14" s="157" t="e">
        <f>ROUND(((($BT$6*$BW$5*(C10*0.001)*D14)/1000)/AQ14), 2)</f>
        <v>#DIV/0!</v>
      </c>
      <c r="AT14" s="25" t="e">
        <f t="shared" si="22"/>
        <v>#DIV/0!</v>
      </c>
      <c r="AU14" s="240" t="e">
        <f t="shared" si="17"/>
        <v>#DIV/0!</v>
      </c>
      <c r="AV14" s="224"/>
      <c r="AW14" s="229"/>
      <c r="AX14" s="12"/>
      <c r="AY14" s="12"/>
      <c r="AZ14" s="158" t="e">
        <f>INDEX('WEG Motor'!$B$3:$AZ$55,
       MATCH(AX14,'WEG Motor'!$A$3:$A$55,0),
       MATCH(AY14,'WEG Motor'!$B$2:$AZ$2,0))%</f>
        <v>#N/A</v>
      </c>
      <c r="BA14" s="158">
        <v>0.92</v>
      </c>
      <c r="BB14" s="158"/>
      <c r="BC14" s="159"/>
      <c r="BD14" s="160" t="e">
        <f>ROUND(((($BT$6*$BW$5*(C10*0.001)*D14)/1000)/BB14), 2)</f>
        <v>#DIV/0!</v>
      </c>
      <c r="BE14" s="12" t="e">
        <f t="shared" si="23"/>
        <v>#DIV/0!</v>
      </c>
      <c r="BF14" s="241" t="e">
        <f t="shared" si="18"/>
        <v>#DIV/0!</v>
      </c>
      <c r="BG14" s="230"/>
      <c r="BH14" s="234"/>
      <c r="BI14" s="22"/>
      <c r="BJ14" s="22"/>
      <c r="BK14" s="161" t="e">
        <f>INDEX('WEG Motor'!$B$3:$AZ$55,
       MATCH(BI14,'WEG Motor'!$A$3:$A$55,0),
       MATCH(BJ14,'WEG Motor'!$B$2:$AZ$2,0))%</f>
        <v>#N/A</v>
      </c>
      <c r="BL14" s="161">
        <v>0.92</v>
      </c>
      <c r="BM14" s="161"/>
      <c r="BN14" s="162"/>
      <c r="BO14" s="163" t="e">
        <f>ROUND(((($BT$6*$BW$5*(C10*0.001)*D14)/1000)/BM14), 2)</f>
        <v>#DIV/0!</v>
      </c>
      <c r="BP14" s="22" t="e">
        <f t="shared" si="24"/>
        <v>#DIV/0!</v>
      </c>
      <c r="BQ14" s="242" t="e">
        <f t="shared" si="25"/>
        <v>#DIV/0!</v>
      </c>
      <c r="BR14" s="193"/>
    </row>
    <row r="15" spans="1:85" x14ac:dyDescent="0.3">
      <c r="A15" s="309"/>
      <c r="B15" s="309"/>
      <c r="C15" s="312"/>
      <c r="D15" s="164">
        <v>40</v>
      </c>
      <c r="E15" s="166"/>
      <c r="F15" s="146"/>
      <c r="G15" s="146"/>
      <c r="H15" s="147" t="e">
        <f>INDEX('WEG Motor'!$B$3:$AZ$55,
       MATCH(F15,'WEG Motor'!$A$3:$A$55,0),
       MATCH(G15,'WEG Motor'!$B$2:$AZ$2,0))%</f>
        <v>#N/A</v>
      </c>
      <c r="I15" s="147">
        <v>0.92</v>
      </c>
      <c r="J15" s="283"/>
      <c r="K15" s="148"/>
      <c r="L15" s="286" t="e">
        <f>ROUND(((($BT$6*$BW$5*(C10*0.001)*D15)/1000)/J15), 2)</f>
        <v>#DIV/0!</v>
      </c>
      <c r="M15" s="146" t="e">
        <f t="shared" si="19"/>
        <v>#DIV/0!</v>
      </c>
      <c r="N15" s="237" t="e">
        <f t="shared" si="14"/>
        <v>#DIV/0!</v>
      </c>
      <c r="O15" s="167"/>
      <c r="P15" s="211"/>
      <c r="Q15" s="23"/>
      <c r="R15" s="23"/>
      <c r="S15" s="149" t="e">
        <f>INDEX('WEG Motor'!$B$3:$AZ$55,
       MATCH(Q15,'WEG Motor'!$A$3:$A$55,0),
       MATCH(R15,'WEG Motor'!$B$2:$AZ$2,0))%</f>
        <v>#N/A</v>
      </c>
      <c r="T15" s="149">
        <v>0.92</v>
      </c>
      <c r="U15" s="149"/>
      <c r="V15" s="150"/>
      <c r="W15" s="151" t="e">
        <f>ROUND(((($BT$6*$BW$5*(C10*0.001)*D15)/1000)/U15), 2)</f>
        <v>#DIV/0!</v>
      </c>
      <c r="X15" s="23" t="e">
        <f t="shared" si="20"/>
        <v>#DIV/0!</v>
      </c>
      <c r="Y15" s="238" t="e">
        <f t="shared" si="15"/>
        <v>#DIV/0!</v>
      </c>
      <c r="Z15" s="212"/>
      <c r="AA15" s="217" t="s">
        <v>130</v>
      </c>
      <c r="AB15" s="24">
        <v>22</v>
      </c>
      <c r="AC15" s="24" t="s">
        <v>35</v>
      </c>
      <c r="AD15" s="152">
        <f>INDEX('WEG Motor'!$B$3:$AZ$55,
       MATCH(AB15,'WEG Motor'!$A$3:$A$55,0),
       MATCH(AC15,'WEG Motor'!$B$2:$AZ$2,0))%</f>
        <v>0.93099999999999994</v>
      </c>
      <c r="AE15" s="152">
        <v>0.92</v>
      </c>
      <c r="AF15" s="152">
        <v>0.77659999999999996</v>
      </c>
      <c r="AG15" s="153">
        <v>3.7050000000000001</v>
      </c>
      <c r="AH15" s="154">
        <f>ROUND(((($BT$6*$BW$5*(C10*0.001)*D15)/1000)/AF15), 2)</f>
        <v>18.190000000000001</v>
      </c>
      <c r="AI15" s="24">
        <f t="shared" si="21"/>
        <v>19.54</v>
      </c>
      <c r="AJ15" s="239">
        <f t="shared" si="16"/>
        <v>21.24</v>
      </c>
      <c r="AK15" s="218"/>
      <c r="AL15" s="223"/>
      <c r="AM15" s="25"/>
      <c r="AN15" s="25"/>
      <c r="AO15" s="155" t="e">
        <f>INDEX('WEG Motor'!$B$3:$AZ$55,
       MATCH(AM15,'WEG Motor'!$A$3:$A$55,0),
       MATCH(AN15,'WEG Motor'!$B$2:$AZ$2,0))%</f>
        <v>#N/A</v>
      </c>
      <c r="AP15" s="155">
        <v>0.92</v>
      </c>
      <c r="AQ15" s="155"/>
      <c r="AR15" s="156"/>
      <c r="AS15" s="157" t="e">
        <f>ROUND(((($BT$6*$BW$5*(C10*0.001)*D15)/1000)/AQ15), 2)</f>
        <v>#DIV/0!</v>
      </c>
      <c r="AT15" s="25" t="e">
        <f t="shared" si="22"/>
        <v>#DIV/0!</v>
      </c>
      <c r="AU15" s="240" t="e">
        <f t="shared" si="17"/>
        <v>#DIV/0!</v>
      </c>
      <c r="AV15" s="224"/>
      <c r="AW15" s="229"/>
      <c r="AX15" s="12"/>
      <c r="AY15" s="12"/>
      <c r="AZ15" s="158" t="e">
        <f>INDEX('WEG Motor'!$B$3:$AZ$55,
       MATCH(AX15,'WEG Motor'!$A$3:$A$55,0),
       MATCH(AY15,'WEG Motor'!$B$2:$AZ$2,0))%</f>
        <v>#N/A</v>
      </c>
      <c r="BA15" s="158">
        <v>0.92</v>
      </c>
      <c r="BB15" s="158"/>
      <c r="BC15" s="159"/>
      <c r="BD15" s="160" t="e">
        <f>ROUND(((($BT$6*$BW$5*(C10*0.001)*D15)/1000)/BB15), 2)</f>
        <v>#DIV/0!</v>
      </c>
      <c r="BE15" s="12" t="e">
        <f t="shared" si="23"/>
        <v>#DIV/0!</v>
      </c>
      <c r="BF15" s="241" t="e">
        <f t="shared" si="18"/>
        <v>#DIV/0!</v>
      </c>
      <c r="BG15" s="230"/>
      <c r="BH15" s="234"/>
      <c r="BI15" s="22"/>
      <c r="BJ15" s="22"/>
      <c r="BK15" s="161" t="e">
        <f>INDEX('WEG Motor'!$B$3:$AZ$55,
       MATCH(BI15,'WEG Motor'!$A$3:$A$55,0),
       MATCH(BJ15,'WEG Motor'!$B$2:$AZ$2,0))%</f>
        <v>#N/A</v>
      </c>
      <c r="BL15" s="161">
        <v>0.92</v>
      </c>
      <c r="BM15" s="161"/>
      <c r="BN15" s="162"/>
      <c r="BO15" s="163" t="e">
        <f>ROUND(((($BT$6*$BW$5*(C10*0.001)*D15)/1000)/BM15), 2)</f>
        <v>#DIV/0!</v>
      </c>
      <c r="BP15" s="22" t="e">
        <f t="shared" si="24"/>
        <v>#DIV/0!</v>
      </c>
      <c r="BQ15" s="242" t="e">
        <f t="shared" si="25"/>
        <v>#DIV/0!</v>
      </c>
      <c r="BR15" s="193"/>
    </row>
    <row r="16" spans="1:85" ht="15" thickBot="1" x14ac:dyDescent="0.35">
      <c r="A16" s="310"/>
      <c r="B16" s="310"/>
      <c r="C16" s="313"/>
      <c r="D16" s="165">
        <v>45</v>
      </c>
      <c r="E16" s="168"/>
      <c r="F16" s="169"/>
      <c r="G16" s="169"/>
      <c r="H16" s="170" t="e">
        <f>INDEX('WEG Motor'!$B$3:$AZ$55,
       MATCH(F16,'WEG Motor'!$A$3:$A$55,0),
       MATCH(G16,'WEG Motor'!$B$2:$AZ$2,0))%</f>
        <v>#N/A</v>
      </c>
      <c r="I16" s="170">
        <v>0.92</v>
      </c>
      <c r="J16" s="284"/>
      <c r="K16" s="171"/>
      <c r="L16" s="287" t="e">
        <f>ROUND(((($BT$6*$BW$5*(C10*0.001)*D16)/1000)/J16), 2)</f>
        <v>#DIV/0!</v>
      </c>
      <c r="M16" s="169" t="e">
        <f t="shared" si="19"/>
        <v>#DIV/0!</v>
      </c>
      <c r="N16" s="247" t="e">
        <f t="shared" si="14"/>
        <v>#DIV/0!</v>
      </c>
      <c r="O16" s="172"/>
      <c r="P16" s="213"/>
      <c r="Q16" s="194"/>
      <c r="R16" s="194"/>
      <c r="S16" s="195" t="e">
        <f>INDEX('WEG Motor'!$B$3:$AZ$55,
       MATCH(Q16,'WEG Motor'!$A$3:$A$55,0),
       MATCH(R16,'WEG Motor'!$B$2:$AZ$2,0))%</f>
        <v>#N/A</v>
      </c>
      <c r="T16" s="195">
        <v>0.92</v>
      </c>
      <c r="U16" s="195"/>
      <c r="V16" s="196"/>
      <c r="W16" s="140" t="e">
        <f>ROUND(((($BT$6*$BW$5*(C10*0.001)*D16)/1000)/U16), 2)</f>
        <v>#DIV/0!</v>
      </c>
      <c r="X16" s="194" t="e">
        <f t="shared" si="20"/>
        <v>#DIV/0!</v>
      </c>
      <c r="Y16" s="246" t="e">
        <f t="shared" si="15"/>
        <v>#DIV/0!</v>
      </c>
      <c r="Z16" s="214"/>
      <c r="AA16" s="219" t="s">
        <v>131</v>
      </c>
      <c r="AB16" s="197">
        <v>30</v>
      </c>
      <c r="AC16" s="197" t="s">
        <v>35</v>
      </c>
      <c r="AD16" s="198">
        <f>INDEX('WEG Motor'!$B$3:$AZ$55,
       MATCH(AB16,'WEG Motor'!$A$3:$A$55,0),
       MATCH(AC16,'WEG Motor'!$B$2:$AZ$2,0))%</f>
        <v>0.93599999999999994</v>
      </c>
      <c r="AE16" s="198">
        <v>0.92</v>
      </c>
      <c r="AF16" s="198">
        <v>0.71779999999999999</v>
      </c>
      <c r="AG16" s="199">
        <v>2.8450000000000002</v>
      </c>
      <c r="AH16" s="141">
        <f>ROUND(((($BT$6*$BW$5*(C10*0.001)*D16)/1000)/AF16), 2)</f>
        <v>22.14</v>
      </c>
      <c r="AI16" s="197">
        <f t="shared" si="21"/>
        <v>23.65</v>
      </c>
      <c r="AJ16" s="245">
        <f t="shared" si="16"/>
        <v>25.71</v>
      </c>
      <c r="AK16" s="220"/>
      <c r="AL16" s="225"/>
      <c r="AM16" s="200"/>
      <c r="AN16" s="200"/>
      <c r="AO16" s="201" t="e">
        <f>INDEX('WEG Motor'!$B$3:$AZ$55,
       MATCH(AM16,'WEG Motor'!$A$3:$A$55,0),
       MATCH(AN16,'WEG Motor'!$B$2:$AZ$2,0))%</f>
        <v>#N/A</v>
      </c>
      <c r="AP16" s="201">
        <v>0.92</v>
      </c>
      <c r="AQ16" s="201"/>
      <c r="AR16" s="202"/>
      <c r="AS16" s="142" t="e">
        <f>ROUND(((($BT$6*$BW$5*(C10*0.001)*D16)/1000)/AQ16), 2)</f>
        <v>#DIV/0!</v>
      </c>
      <c r="AT16" s="200" t="e">
        <f t="shared" si="22"/>
        <v>#DIV/0!</v>
      </c>
      <c r="AU16" s="244" t="e">
        <f t="shared" si="17"/>
        <v>#DIV/0!</v>
      </c>
      <c r="AV16" s="226"/>
      <c r="AW16" s="231"/>
      <c r="AX16" s="203"/>
      <c r="AY16" s="203"/>
      <c r="AZ16" s="204" t="e">
        <f>INDEX('WEG Motor'!$B$3:$AZ$55,
       MATCH(AX16,'WEG Motor'!$A$3:$A$55,0),
       MATCH(AY16,'WEG Motor'!$B$2:$AZ$2,0))%</f>
        <v>#N/A</v>
      </c>
      <c r="BA16" s="204">
        <v>0.92</v>
      </c>
      <c r="BB16" s="204"/>
      <c r="BC16" s="205"/>
      <c r="BD16" s="143" t="e">
        <f>ROUND(((($BT$6*$BW$5*(C10*0.001)*D16)/1000)/BB16), 2)</f>
        <v>#DIV/0!</v>
      </c>
      <c r="BE16" s="203" t="e">
        <f t="shared" si="23"/>
        <v>#DIV/0!</v>
      </c>
      <c r="BF16" s="243" t="e">
        <f t="shared" si="18"/>
        <v>#DIV/0!</v>
      </c>
      <c r="BG16" s="232"/>
      <c r="BH16" s="235"/>
      <c r="BI16" s="66"/>
      <c r="BJ16" s="66"/>
      <c r="BK16" s="206" t="e">
        <f>INDEX('WEG Motor'!$B$3:$AZ$55,
       MATCH(BI16,'WEG Motor'!$A$3:$A$55,0),
       MATCH(BJ16,'WEG Motor'!$B$2:$AZ$2,0))%</f>
        <v>#N/A</v>
      </c>
      <c r="BL16" s="206">
        <v>0.92</v>
      </c>
      <c r="BM16" s="206"/>
      <c r="BN16" s="207"/>
      <c r="BO16" s="144" t="e">
        <f>ROUND(((($BT$6*$BW$5*(C10*0.001)*D16)/1000)/BM16), 2)</f>
        <v>#DIV/0!</v>
      </c>
      <c r="BP16" s="292" t="e">
        <f t="shared" si="24"/>
        <v>#DIV/0!</v>
      </c>
      <c r="BQ16" s="293" t="e">
        <f t="shared" si="25"/>
        <v>#DIV/0!</v>
      </c>
      <c r="BR16" s="208"/>
    </row>
    <row r="17" spans="1:70" x14ac:dyDescent="0.3">
      <c r="A17" s="308">
        <v>2</v>
      </c>
      <c r="B17" s="308">
        <v>350</v>
      </c>
      <c r="C17" s="311">
        <f>ROUND((B17 * $BW$7 * 1000) / ($BT$6 * $BW$3 * $BW$4), 0)</f>
        <v>42</v>
      </c>
      <c r="D17" s="145">
        <v>15</v>
      </c>
      <c r="E17" s="173"/>
      <c r="F17" s="53"/>
      <c r="G17" s="53"/>
      <c r="H17" s="174" t="e">
        <f>INDEX('WEG Motor'!$B$3:$AZ$55,
       MATCH(F17,'WEG Motor'!$A$3:$A$55,0),
       MATCH(G17,'WEG Motor'!$B$2:$AZ$2,0))%</f>
        <v>#N/A</v>
      </c>
      <c r="I17" s="174">
        <v>0.92</v>
      </c>
      <c r="J17" s="282"/>
      <c r="K17" s="175"/>
      <c r="L17" s="285" t="e">
        <f t="shared" ref="L17" si="27">ROUND(((($BT$6*$BW$5*(C17*0.001)*D17)/1000)/J17), 2)</f>
        <v>#DIV/0!</v>
      </c>
      <c r="M17" s="53" t="e">
        <f>ROUND((L17/H17),2)</f>
        <v>#DIV/0!</v>
      </c>
      <c r="N17" s="236" t="e">
        <f t="shared" si="14"/>
        <v>#DIV/0!</v>
      </c>
      <c r="O17" s="176"/>
      <c r="P17" s="209" t="s">
        <v>132</v>
      </c>
      <c r="Q17" s="177">
        <v>11</v>
      </c>
      <c r="R17" s="177" t="s">
        <v>35</v>
      </c>
      <c r="S17" s="178">
        <f>INDEX('WEG Motor'!$B$3:$AZ$55,
       MATCH(Q17,'WEG Motor'!$A$3:$A$55,0),
       MATCH(R17,'WEG Motor'!$B$2:$AZ$2,0))%</f>
        <v>0.91400000000000003</v>
      </c>
      <c r="T17" s="178">
        <v>0.92</v>
      </c>
      <c r="U17" s="178">
        <v>0.77849999999999997</v>
      </c>
      <c r="V17" s="179">
        <v>2.5409999999999999</v>
      </c>
      <c r="W17" s="297">
        <f>ROUND(((($BT$6*$BW$5*(C17*0.001)*D17)/1000)/U17), 2)</f>
        <v>7.94</v>
      </c>
      <c r="X17" s="177">
        <f>ROUND((W17/S17),2)</f>
        <v>8.69</v>
      </c>
      <c r="Y17" s="276">
        <f t="shared" si="15"/>
        <v>9.4499999999999993</v>
      </c>
      <c r="Z17" s="210"/>
      <c r="AA17" s="215"/>
      <c r="AB17" s="180"/>
      <c r="AC17" s="180"/>
      <c r="AD17" s="181" t="e">
        <f>INDEX('WEG Motor'!$B$3:$AZ$55,
       MATCH(AB17,'WEG Motor'!$A$3:$A$55,0),
       MATCH(AC17,'WEG Motor'!$B$2:$AZ$2,0))%</f>
        <v>#N/A</v>
      </c>
      <c r="AE17" s="181">
        <v>0.92</v>
      </c>
      <c r="AF17" s="181"/>
      <c r="AG17" s="182"/>
      <c r="AH17" s="296" t="e">
        <f>ROUND(((($BT$6*$BW$5*(C17*0.001)*D17)/1000)/AF17), 2)</f>
        <v>#DIV/0!</v>
      </c>
      <c r="AI17" s="180" t="e">
        <f>ROUND((AH17/AD17),2)</f>
        <v>#DIV/0!</v>
      </c>
      <c r="AJ17" s="277" t="e">
        <f t="shared" si="16"/>
        <v>#DIV/0!</v>
      </c>
      <c r="AK17" s="216"/>
      <c r="AL17" s="221"/>
      <c r="AM17" s="183"/>
      <c r="AN17" s="183"/>
      <c r="AO17" s="184" t="e">
        <f>INDEX('WEG Motor'!$B$3:$AZ$55,
       MATCH(AM17,'WEG Motor'!$A$3:$A$55,0),
       MATCH(AN17,'WEG Motor'!$B$2:$AZ$2,0))%</f>
        <v>#N/A</v>
      </c>
      <c r="AP17" s="184">
        <v>0.92</v>
      </c>
      <c r="AQ17" s="184"/>
      <c r="AR17" s="185"/>
      <c r="AS17" s="295" t="e">
        <f>ROUND(((($BT$6*$BW$5*(C17*0.001)*D17)/1000)/AQ17), 2)</f>
        <v>#DIV/0!</v>
      </c>
      <c r="AT17" s="183" t="e">
        <f>ROUND((AS17/AO17),2)</f>
        <v>#DIV/0!</v>
      </c>
      <c r="AU17" s="278" t="e">
        <f t="shared" si="17"/>
        <v>#DIV/0!</v>
      </c>
      <c r="AV17" s="222"/>
      <c r="AW17" s="227"/>
      <c r="AX17" s="186"/>
      <c r="AY17" s="186"/>
      <c r="AZ17" s="187" t="e">
        <f>INDEX('WEG Motor'!$B$3:$AZ$55,
       MATCH(AX17,'WEG Motor'!$A$3:$A$55,0),
       MATCH(AY17,'WEG Motor'!$B$2:$AZ$2,0))%</f>
        <v>#N/A</v>
      </c>
      <c r="BA17" s="187">
        <v>0.92</v>
      </c>
      <c r="BB17" s="187"/>
      <c r="BC17" s="188"/>
      <c r="BD17" s="294" t="e">
        <f>ROUND(((($BT$6*$BW$5*(C17*0.001)*D17)/1000)/BB17), 2)</f>
        <v>#DIV/0!</v>
      </c>
      <c r="BE17" s="186" t="e">
        <f>ROUND((BD17/AZ17),2)</f>
        <v>#DIV/0!</v>
      </c>
      <c r="BF17" s="279" t="e">
        <f t="shared" si="18"/>
        <v>#DIV/0!</v>
      </c>
      <c r="BG17" s="228"/>
      <c r="BH17" s="233"/>
      <c r="BI17" s="189"/>
      <c r="BJ17" s="189"/>
      <c r="BK17" s="190" t="e">
        <f>INDEX('WEG Motor'!$B$3:$AZ$55,
       MATCH(BI17,'WEG Motor'!$A$3:$A$55,0),
       MATCH(BJ17,'WEG Motor'!$B$2:$AZ$2,0))%</f>
        <v>#N/A</v>
      </c>
      <c r="BL17" s="190">
        <v>0.92</v>
      </c>
      <c r="BM17" s="190"/>
      <c r="BN17" s="191"/>
      <c r="BO17" s="289" t="e">
        <f>ROUND(((($BT$6*$BW$5*(C17*0.001)*D17)/1000)/BM17), 2)</f>
        <v>#DIV/0!</v>
      </c>
      <c r="BP17" s="290" t="e">
        <f>ROUND((BO17/BK17),2)</f>
        <v>#DIV/0!</v>
      </c>
      <c r="BQ17" s="291" t="e">
        <f>ROUND((BP17/BL17), 2)</f>
        <v>#DIV/0!</v>
      </c>
      <c r="BR17" s="192"/>
    </row>
    <row r="18" spans="1:70" x14ac:dyDescent="0.3">
      <c r="A18" s="309"/>
      <c r="B18" s="309"/>
      <c r="C18" s="312"/>
      <c r="D18" s="164">
        <v>20</v>
      </c>
      <c r="E18" s="166"/>
      <c r="F18" s="146"/>
      <c r="G18" s="146"/>
      <c r="H18" s="147" t="e">
        <f>INDEX('WEG Motor'!$B$3:$AZ$55,
       MATCH(F18,'WEG Motor'!$A$3:$A$55,0),
       MATCH(G18,'WEG Motor'!$B$2:$AZ$2,0))%</f>
        <v>#N/A</v>
      </c>
      <c r="I18" s="147">
        <v>0.92</v>
      </c>
      <c r="J18" s="283"/>
      <c r="K18" s="148"/>
      <c r="L18" s="286" t="e">
        <f>ROUND(((($BT$6*$BW$5*(C17*0.001)*D18)/1000)/J18), 2)</f>
        <v>#DIV/0!</v>
      </c>
      <c r="M18" s="146" t="e">
        <f t="shared" ref="M18:M23" si="28">ROUND((L18/H18),2)</f>
        <v>#DIV/0!</v>
      </c>
      <c r="N18" s="237" t="e">
        <f t="shared" si="14"/>
        <v>#DIV/0!</v>
      </c>
      <c r="O18" s="167"/>
      <c r="P18" s="211" t="s">
        <v>77</v>
      </c>
      <c r="Q18" s="23">
        <v>11</v>
      </c>
      <c r="R18" s="23" t="s">
        <v>35</v>
      </c>
      <c r="S18" s="149">
        <f>INDEX('WEG Motor'!$B$3:$AZ$55,
       MATCH(Q18,'WEG Motor'!$A$3:$A$55,0),
       MATCH(R18,'WEG Motor'!$B$2:$AZ$2,0))%</f>
        <v>0.91400000000000003</v>
      </c>
      <c r="T18" s="149">
        <v>0.92</v>
      </c>
      <c r="U18" s="149">
        <v>0.84179999999999999</v>
      </c>
      <c r="V18" s="150">
        <v>2.032</v>
      </c>
      <c r="W18" s="151">
        <f>ROUND(((($BT$6*$BW$5*(C17*0.001)*D18)/1000)/U18), 2)</f>
        <v>9.7899999999999991</v>
      </c>
      <c r="X18" s="23">
        <f t="shared" ref="X18:X23" si="29">ROUND((W18/S18),2)</f>
        <v>10.71</v>
      </c>
      <c r="Y18" s="238">
        <f t="shared" si="15"/>
        <v>11.64</v>
      </c>
      <c r="Z18" s="212"/>
      <c r="AA18" s="217"/>
      <c r="AB18" s="24"/>
      <c r="AC18" s="24"/>
      <c r="AD18" s="152" t="e">
        <f>INDEX('WEG Motor'!$B$3:$AZ$55,
       MATCH(AB18,'WEG Motor'!$A$3:$A$55,0),
       MATCH(AC18,'WEG Motor'!$B$2:$AZ$2,0))%</f>
        <v>#N/A</v>
      </c>
      <c r="AE18" s="152">
        <v>0.92</v>
      </c>
      <c r="AF18" s="152"/>
      <c r="AG18" s="153"/>
      <c r="AH18" s="154" t="e">
        <f>ROUND(((($BT$6*$BW$5*(C17*0.001)*D18)/1000)/AF18), 2)</f>
        <v>#DIV/0!</v>
      </c>
      <c r="AI18" s="24" t="e">
        <f t="shared" ref="AI18:AI23" si="30">ROUND((AH18/AD18),2)</f>
        <v>#DIV/0!</v>
      </c>
      <c r="AJ18" s="239" t="e">
        <f t="shared" si="16"/>
        <v>#DIV/0!</v>
      </c>
      <c r="AK18" s="218"/>
      <c r="AL18" s="223"/>
      <c r="AM18" s="25"/>
      <c r="AN18" s="25"/>
      <c r="AO18" s="155" t="e">
        <f>INDEX('WEG Motor'!$B$3:$AZ$55,
       MATCH(AM18,'WEG Motor'!$A$3:$A$55,0),
       MATCH(AN18,'WEG Motor'!$B$2:$AZ$2,0))%</f>
        <v>#N/A</v>
      </c>
      <c r="AP18" s="155">
        <v>0.92</v>
      </c>
      <c r="AQ18" s="155"/>
      <c r="AR18" s="156"/>
      <c r="AS18" s="157" t="e">
        <f>ROUND(((($BT$6*$BW$5*(C17*0.001)*D18)/1000)/AQ18), 2)</f>
        <v>#DIV/0!</v>
      </c>
      <c r="AT18" s="25" t="e">
        <f t="shared" ref="AT18:AT23" si="31">ROUND((AS18/AO18),2)</f>
        <v>#DIV/0!</v>
      </c>
      <c r="AU18" s="240" t="e">
        <f t="shared" si="17"/>
        <v>#DIV/0!</v>
      </c>
      <c r="AV18" s="224"/>
      <c r="AW18" s="229"/>
      <c r="AX18" s="12"/>
      <c r="AY18" s="12"/>
      <c r="AZ18" s="158" t="e">
        <f>INDEX('WEG Motor'!$B$3:$AZ$55,
       MATCH(AX18,'WEG Motor'!$A$3:$A$55,0),
       MATCH(AY18,'WEG Motor'!$B$2:$AZ$2,0))%</f>
        <v>#N/A</v>
      </c>
      <c r="BA18" s="158">
        <v>0.92</v>
      </c>
      <c r="BB18" s="158"/>
      <c r="BC18" s="159"/>
      <c r="BD18" s="160" t="e">
        <f>ROUND(((($BT$6*$BW$5*(C17*0.001)*D18)/1000)/BB18), 2)</f>
        <v>#DIV/0!</v>
      </c>
      <c r="BE18" s="12" t="e">
        <f t="shared" ref="BE18:BE23" si="32">ROUND((BD18/AZ18),2)</f>
        <v>#DIV/0!</v>
      </c>
      <c r="BF18" s="241" t="e">
        <f t="shared" si="18"/>
        <v>#DIV/0!</v>
      </c>
      <c r="BG18" s="230"/>
      <c r="BH18" s="234"/>
      <c r="BI18" s="22"/>
      <c r="BJ18" s="22"/>
      <c r="BK18" s="161" t="e">
        <f>INDEX('WEG Motor'!$B$3:$AZ$55,
       MATCH(BI18,'WEG Motor'!$A$3:$A$55,0),
       MATCH(BJ18,'WEG Motor'!$B$2:$AZ$2,0))%</f>
        <v>#N/A</v>
      </c>
      <c r="BL18" s="161">
        <v>0.92</v>
      </c>
      <c r="BM18" s="161"/>
      <c r="BN18" s="162"/>
      <c r="BO18" s="163" t="e">
        <f>ROUND(((($BT$6*$BW$5*(C17*0.001)*D18)/1000)/BM18), 2)</f>
        <v>#DIV/0!</v>
      </c>
      <c r="BP18" s="22" t="e">
        <f t="shared" ref="BP18:BP23" si="33">ROUND((BO18/BK18),2)</f>
        <v>#DIV/0!</v>
      </c>
      <c r="BQ18" s="242" t="e">
        <f t="shared" ref="BQ18:BQ23" si="34">ROUND((BP18/BL18), 2)</f>
        <v>#DIV/0!</v>
      </c>
      <c r="BR18" s="193"/>
    </row>
    <row r="19" spans="1:70" x14ac:dyDescent="0.3">
      <c r="A19" s="309"/>
      <c r="B19" s="309"/>
      <c r="C19" s="312"/>
      <c r="D19" s="164">
        <v>25</v>
      </c>
      <c r="E19" s="166"/>
      <c r="F19" s="146"/>
      <c r="G19" s="146"/>
      <c r="H19" s="147" t="e">
        <f>INDEX('WEG Motor'!$B$3:$AZ$55,
       MATCH(F19,'WEG Motor'!$A$3:$A$55,0),
       MATCH(G19,'WEG Motor'!$B$2:$AZ$2,0))%</f>
        <v>#N/A</v>
      </c>
      <c r="I19" s="147">
        <v>0.92</v>
      </c>
      <c r="J19" s="283"/>
      <c r="K19" s="148"/>
      <c r="L19" s="286" t="e">
        <f>ROUND(((($BT$6*$BW$5*(C17*0.001)*D19)/1000)/J19), 2)</f>
        <v>#DIV/0!</v>
      </c>
      <c r="M19" s="146" t="e">
        <f t="shared" si="28"/>
        <v>#DIV/0!</v>
      </c>
      <c r="N19" s="237" t="e">
        <f t="shared" si="14"/>
        <v>#DIV/0!</v>
      </c>
      <c r="O19" s="167"/>
      <c r="P19" s="211" t="s">
        <v>41</v>
      </c>
      <c r="Q19" s="23">
        <v>15</v>
      </c>
      <c r="R19" s="23" t="s">
        <v>35</v>
      </c>
      <c r="S19" s="149">
        <f>INDEX('WEG Motor'!$B$3:$AZ$55,
       MATCH(Q19,'WEG Motor'!$A$3:$A$55,0),
       MATCH(R19,'WEG Motor'!$B$2:$AZ$2,0))%</f>
        <v>0.92099999999999993</v>
      </c>
      <c r="T19" s="149">
        <v>0.92</v>
      </c>
      <c r="U19" s="149">
        <v>0.84189999999999998</v>
      </c>
      <c r="V19" s="150">
        <v>2.032</v>
      </c>
      <c r="W19" s="151">
        <f>ROUND(((($BT$6*$BW$5*(C17*0.001)*D19)/1000)/U19), 2)</f>
        <v>12.23</v>
      </c>
      <c r="X19" s="23">
        <f t="shared" si="29"/>
        <v>13.28</v>
      </c>
      <c r="Y19" s="238">
        <f t="shared" si="15"/>
        <v>14.43</v>
      </c>
      <c r="Z19" s="212"/>
      <c r="AA19" s="217"/>
      <c r="AB19" s="24"/>
      <c r="AC19" s="24"/>
      <c r="AD19" s="152" t="e">
        <f>INDEX('WEG Motor'!$B$3:$AZ$55,
       MATCH(AB19,'WEG Motor'!$A$3:$A$55,0),
       MATCH(AC19,'WEG Motor'!$B$2:$AZ$2,0))%</f>
        <v>#N/A</v>
      </c>
      <c r="AE19" s="152">
        <v>0.92</v>
      </c>
      <c r="AF19" s="152"/>
      <c r="AG19" s="153"/>
      <c r="AH19" s="154" t="e">
        <f>ROUND(((($BT$6*$BW$5*(C17*0.001)*D19)/1000)/AF19), 2)</f>
        <v>#DIV/0!</v>
      </c>
      <c r="AI19" s="24" t="e">
        <f t="shared" si="30"/>
        <v>#DIV/0!</v>
      </c>
      <c r="AJ19" s="239" t="e">
        <f t="shared" si="16"/>
        <v>#DIV/0!</v>
      </c>
      <c r="AK19" s="218"/>
      <c r="AL19" s="223"/>
      <c r="AM19" s="25"/>
      <c r="AN19" s="25"/>
      <c r="AO19" s="155" t="e">
        <f>INDEX('WEG Motor'!$B$3:$AZ$55,
       MATCH(AM19,'WEG Motor'!$A$3:$A$55,0),
       MATCH(AN19,'WEG Motor'!$B$2:$AZ$2,0))%</f>
        <v>#N/A</v>
      </c>
      <c r="AP19" s="155">
        <v>0.92</v>
      </c>
      <c r="AQ19" s="155"/>
      <c r="AR19" s="156"/>
      <c r="AS19" s="157" t="e">
        <f>ROUND(((($BT$6*$BW$5*(C17*0.001)*D19)/1000)/AQ19), 2)</f>
        <v>#DIV/0!</v>
      </c>
      <c r="AT19" s="25" t="e">
        <f t="shared" si="31"/>
        <v>#DIV/0!</v>
      </c>
      <c r="AU19" s="240" t="e">
        <f t="shared" si="17"/>
        <v>#DIV/0!</v>
      </c>
      <c r="AV19" s="224"/>
      <c r="AW19" s="229"/>
      <c r="AX19" s="12"/>
      <c r="AY19" s="12"/>
      <c r="AZ19" s="158" t="e">
        <f>INDEX('WEG Motor'!$B$3:$AZ$55,
       MATCH(AX19,'WEG Motor'!$A$3:$A$55,0),
       MATCH(AY19,'WEG Motor'!$B$2:$AZ$2,0))%</f>
        <v>#N/A</v>
      </c>
      <c r="BA19" s="158">
        <v>0.92</v>
      </c>
      <c r="BB19" s="158"/>
      <c r="BC19" s="159"/>
      <c r="BD19" s="160" t="e">
        <f>ROUND(((($BT$6*$BW$5*(C17*0.001)*D19)/1000)/BB19), 2)</f>
        <v>#DIV/0!</v>
      </c>
      <c r="BE19" s="12" t="e">
        <f t="shared" si="32"/>
        <v>#DIV/0!</v>
      </c>
      <c r="BF19" s="241" t="e">
        <f t="shared" si="18"/>
        <v>#DIV/0!</v>
      </c>
      <c r="BG19" s="230"/>
      <c r="BH19" s="234"/>
      <c r="BI19" s="22"/>
      <c r="BJ19" s="22"/>
      <c r="BK19" s="161" t="e">
        <f>INDEX('WEG Motor'!$B$3:$AZ$55,
       MATCH(BI19,'WEG Motor'!$A$3:$A$55,0),
       MATCH(BJ19,'WEG Motor'!$B$2:$AZ$2,0))%</f>
        <v>#N/A</v>
      </c>
      <c r="BL19" s="161">
        <v>0.92</v>
      </c>
      <c r="BM19" s="161"/>
      <c r="BN19" s="162"/>
      <c r="BO19" s="163" t="e">
        <f>ROUND(((($BT$6*$BW$5*(C17*0.001)*D19)/1000)/BM19), 2)</f>
        <v>#DIV/0!</v>
      </c>
      <c r="BP19" s="22" t="e">
        <f t="shared" si="33"/>
        <v>#DIV/0!</v>
      </c>
      <c r="BQ19" s="242" t="e">
        <f t="shared" si="34"/>
        <v>#DIV/0!</v>
      </c>
      <c r="BR19" s="193"/>
    </row>
    <row r="20" spans="1:70" x14ac:dyDescent="0.3">
      <c r="A20" s="309"/>
      <c r="B20" s="309"/>
      <c r="C20" s="312"/>
      <c r="D20" s="164">
        <v>30</v>
      </c>
      <c r="E20" s="166"/>
      <c r="F20" s="146"/>
      <c r="G20" s="146"/>
      <c r="H20" s="147" t="e">
        <f>INDEX('WEG Motor'!$B$3:$AZ$55,
       MATCH(F20,'WEG Motor'!$A$3:$A$55,0),
       MATCH(G20,'WEG Motor'!$B$2:$AZ$2,0))%</f>
        <v>#N/A</v>
      </c>
      <c r="I20" s="147">
        <v>0.92</v>
      </c>
      <c r="J20" s="283"/>
      <c r="K20" s="148"/>
      <c r="L20" s="286" t="e">
        <f>ROUND(((($BT$6*$BW$5*(C17*0.001)*D20)/1000)/J20), 2)</f>
        <v>#DIV/0!</v>
      </c>
      <c r="M20" s="146" t="e">
        <f t="shared" si="28"/>
        <v>#DIV/0!</v>
      </c>
      <c r="N20" s="237" t="e">
        <f t="shared" si="14"/>
        <v>#DIV/0!</v>
      </c>
      <c r="O20" s="167"/>
      <c r="P20" s="211" t="s">
        <v>48</v>
      </c>
      <c r="Q20" s="23">
        <v>18.5</v>
      </c>
      <c r="R20" s="23" t="s">
        <v>35</v>
      </c>
      <c r="S20" s="149">
        <f>INDEX('WEG Motor'!$B$3:$AZ$55,
       MATCH(Q20,'WEG Motor'!$A$3:$A$55,0),
       MATCH(R20,'WEG Motor'!$B$2:$AZ$2,0))%</f>
        <v>0.92599999999999993</v>
      </c>
      <c r="T20" s="149">
        <v>0.92</v>
      </c>
      <c r="U20" s="149">
        <v>0.81779999999999997</v>
      </c>
      <c r="V20" s="150">
        <v>2.2120000000000002</v>
      </c>
      <c r="W20" s="151">
        <f>ROUND(((($BT$6*$BW$5*(C17*0.001)*D20)/1000)/U20), 2)</f>
        <v>15.11</v>
      </c>
      <c r="X20" s="23">
        <f t="shared" si="29"/>
        <v>16.32</v>
      </c>
      <c r="Y20" s="238">
        <f t="shared" si="15"/>
        <v>17.739999999999998</v>
      </c>
      <c r="Z20" s="212"/>
      <c r="AA20" s="217"/>
      <c r="AB20" s="24"/>
      <c r="AC20" s="24"/>
      <c r="AD20" s="152" t="e">
        <f>INDEX('WEG Motor'!$B$3:$AZ$55,
       MATCH(AB20,'WEG Motor'!$A$3:$A$55,0),
       MATCH(AC20,'WEG Motor'!$B$2:$AZ$2,0))%</f>
        <v>#N/A</v>
      </c>
      <c r="AE20" s="152">
        <v>0.92</v>
      </c>
      <c r="AF20" s="152"/>
      <c r="AG20" s="153"/>
      <c r="AH20" s="154" t="e">
        <f>ROUND(((($BT$6*$BW$5*(C17*0.001)*D20)/1000)/AF20), 2)</f>
        <v>#DIV/0!</v>
      </c>
      <c r="AI20" s="24" t="e">
        <f t="shared" si="30"/>
        <v>#DIV/0!</v>
      </c>
      <c r="AJ20" s="239" t="e">
        <f t="shared" si="16"/>
        <v>#DIV/0!</v>
      </c>
      <c r="AK20" s="218"/>
      <c r="AL20" s="223"/>
      <c r="AM20" s="25"/>
      <c r="AN20" s="25"/>
      <c r="AO20" s="155" t="e">
        <f>INDEX('WEG Motor'!$B$3:$AZ$55,
       MATCH(AM20,'WEG Motor'!$A$3:$A$55,0),
       MATCH(AN20,'WEG Motor'!$B$2:$AZ$2,0))%</f>
        <v>#N/A</v>
      </c>
      <c r="AP20" s="155">
        <v>0.92</v>
      </c>
      <c r="AQ20" s="155"/>
      <c r="AR20" s="156"/>
      <c r="AS20" s="157" t="e">
        <f>ROUND(((($BT$6*$BW$5*(C17*0.001)*D20)/1000)/AQ20), 2)</f>
        <v>#DIV/0!</v>
      </c>
      <c r="AT20" s="25" t="e">
        <f t="shared" si="31"/>
        <v>#DIV/0!</v>
      </c>
      <c r="AU20" s="240" t="e">
        <f t="shared" si="17"/>
        <v>#DIV/0!</v>
      </c>
      <c r="AV20" s="224"/>
      <c r="AW20" s="229"/>
      <c r="AX20" s="12"/>
      <c r="AY20" s="12"/>
      <c r="AZ20" s="158" t="e">
        <f>INDEX('WEG Motor'!$B$3:$AZ$55,
       MATCH(AX20,'WEG Motor'!$A$3:$A$55,0),
       MATCH(AY20,'WEG Motor'!$B$2:$AZ$2,0))%</f>
        <v>#N/A</v>
      </c>
      <c r="BA20" s="158">
        <v>0.92</v>
      </c>
      <c r="BB20" s="158"/>
      <c r="BC20" s="159"/>
      <c r="BD20" s="160" t="e">
        <f>ROUND(((($BT$6*$BW$5*(C17*0.001)*D20)/1000)/BB20), 2)</f>
        <v>#DIV/0!</v>
      </c>
      <c r="BE20" s="12" t="e">
        <f t="shared" si="32"/>
        <v>#DIV/0!</v>
      </c>
      <c r="BF20" s="241" t="e">
        <f t="shared" si="18"/>
        <v>#DIV/0!</v>
      </c>
      <c r="BG20" s="230"/>
      <c r="BH20" s="234"/>
      <c r="BI20" s="22"/>
      <c r="BJ20" s="22"/>
      <c r="BK20" s="161" t="e">
        <f>INDEX('WEG Motor'!$B$3:$AZ$55,
       MATCH(BI20,'WEG Motor'!$A$3:$A$55,0),
       MATCH(BJ20,'WEG Motor'!$B$2:$AZ$2,0))%</f>
        <v>#N/A</v>
      </c>
      <c r="BL20" s="161">
        <v>0.92</v>
      </c>
      <c r="BM20" s="161"/>
      <c r="BN20" s="162"/>
      <c r="BO20" s="163" t="e">
        <f>ROUND(((($BT$6*$BW$5*(C17*0.001)*D20)/1000)/BM20), 2)</f>
        <v>#DIV/0!</v>
      </c>
      <c r="BP20" s="22" t="e">
        <f t="shared" si="33"/>
        <v>#DIV/0!</v>
      </c>
      <c r="BQ20" s="242" t="e">
        <f t="shared" si="34"/>
        <v>#DIV/0!</v>
      </c>
      <c r="BR20" s="193"/>
    </row>
    <row r="21" spans="1:70" x14ac:dyDescent="0.3">
      <c r="A21" s="309"/>
      <c r="B21" s="309"/>
      <c r="C21" s="312"/>
      <c r="D21" s="164">
        <v>35</v>
      </c>
      <c r="E21" s="166"/>
      <c r="F21" s="146"/>
      <c r="G21" s="146"/>
      <c r="H21" s="147" t="e">
        <f>INDEX('WEG Motor'!$B$3:$AZ$55,
       MATCH(F21,'WEG Motor'!$A$3:$A$55,0),
       MATCH(G21,'WEG Motor'!$B$2:$AZ$2,0))%</f>
        <v>#N/A</v>
      </c>
      <c r="I21" s="147">
        <v>0.92</v>
      </c>
      <c r="J21" s="283"/>
      <c r="K21" s="148"/>
      <c r="L21" s="286" t="e">
        <f t="shared" ref="L21" si="35">ROUND(((($BT$6*$BW$5*(C21*0.001)*D21)/1000)/J21), 2)</f>
        <v>#DIV/0!</v>
      </c>
      <c r="M21" s="146" t="e">
        <f t="shared" si="28"/>
        <v>#DIV/0!</v>
      </c>
      <c r="N21" s="237" t="e">
        <f t="shared" si="14"/>
        <v>#DIV/0!</v>
      </c>
      <c r="O21" s="167"/>
      <c r="P21" s="211" t="s">
        <v>133</v>
      </c>
      <c r="Q21" s="23">
        <v>22</v>
      </c>
      <c r="R21" s="23" t="s">
        <v>35</v>
      </c>
      <c r="S21" s="149">
        <f>INDEX('WEG Motor'!$B$3:$AZ$55,
       MATCH(Q21,'WEG Motor'!$A$3:$A$55,0),
       MATCH(R21,'WEG Motor'!$B$2:$AZ$2,0))%</f>
        <v>0.93099999999999994</v>
      </c>
      <c r="T21" s="149">
        <v>0.92</v>
      </c>
      <c r="U21" s="149">
        <v>0.80449999999999999</v>
      </c>
      <c r="V21" s="150">
        <v>2.2210000000000001</v>
      </c>
      <c r="W21" s="151">
        <f>ROUND(((($BT$6*$BW$5*(C17*0.001)*D21)/1000)/U21), 2)</f>
        <v>17.920000000000002</v>
      </c>
      <c r="X21" s="23">
        <f t="shared" si="29"/>
        <v>19.25</v>
      </c>
      <c r="Y21" s="238">
        <f t="shared" si="15"/>
        <v>20.92</v>
      </c>
      <c r="Z21" s="212"/>
      <c r="AA21" s="217"/>
      <c r="AB21" s="24"/>
      <c r="AC21" s="24"/>
      <c r="AD21" s="152" t="e">
        <f>INDEX('WEG Motor'!$B$3:$AZ$55,
       MATCH(AB21,'WEG Motor'!$A$3:$A$55,0),
       MATCH(AC21,'WEG Motor'!$B$2:$AZ$2,0))%</f>
        <v>#N/A</v>
      </c>
      <c r="AE21" s="152">
        <v>0.92</v>
      </c>
      <c r="AF21" s="152"/>
      <c r="AG21" s="153"/>
      <c r="AH21" s="154" t="e">
        <f>ROUND(((($BT$6*$BW$5*(C17*0.001)*D21)/1000)/AF21), 2)</f>
        <v>#DIV/0!</v>
      </c>
      <c r="AI21" s="24" t="e">
        <f t="shared" si="30"/>
        <v>#DIV/0!</v>
      </c>
      <c r="AJ21" s="239" t="e">
        <f t="shared" si="16"/>
        <v>#DIV/0!</v>
      </c>
      <c r="AK21" s="218"/>
      <c r="AL21" s="223"/>
      <c r="AM21" s="25"/>
      <c r="AN21" s="25"/>
      <c r="AO21" s="155" t="e">
        <f>INDEX('WEG Motor'!$B$3:$AZ$55,
       MATCH(AM21,'WEG Motor'!$A$3:$A$55,0),
       MATCH(AN21,'WEG Motor'!$B$2:$AZ$2,0))%</f>
        <v>#N/A</v>
      </c>
      <c r="AP21" s="155">
        <v>0.92</v>
      </c>
      <c r="AQ21" s="155"/>
      <c r="AR21" s="156"/>
      <c r="AS21" s="157" t="e">
        <f>ROUND(((($BT$6*$BW$5*(C17*0.001)*D21)/1000)/AQ21), 2)</f>
        <v>#DIV/0!</v>
      </c>
      <c r="AT21" s="25" t="e">
        <f t="shared" si="31"/>
        <v>#DIV/0!</v>
      </c>
      <c r="AU21" s="240" t="e">
        <f t="shared" si="17"/>
        <v>#DIV/0!</v>
      </c>
      <c r="AV21" s="224"/>
      <c r="AW21" s="229"/>
      <c r="AX21" s="12"/>
      <c r="AY21" s="12"/>
      <c r="AZ21" s="158" t="e">
        <f>INDEX('WEG Motor'!$B$3:$AZ$55,
       MATCH(AX21,'WEG Motor'!$A$3:$A$55,0),
       MATCH(AY21,'WEG Motor'!$B$2:$AZ$2,0))%</f>
        <v>#N/A</v>
      </c>
      <c r="BA21" s="158">
        <v>0.92</v>
      </c>
      <c r="BB21" s="158"/>
      <c r="BC21" s="159"/>
      <c r="BD21" s="160" t="e">
        <f>ROUND(((($BT$6*$BW$5*(C17*0.001)*D21)/1000)/BB21), 2)</f>
        <v>#DIV/0!</v>
      </c>
      <c r="BE21" s="12" t="e">
        <f t="shared" si="32"/>
        <v>#DIV/0!</v>
      </c>
      <c r="BF21" s="241" t="e">
        <f t="shared" si="18"/>
        <v>#DIV/0!</v>
      </c>
      <c r="BG21" s="230"/>
      <c r="BH21" s="234"/>
      <c r="BI21" s="22"/>
      <c r="BJ21" s="22"/>
      <c r="BK21" s="161" t="e">
        <f>INDEX('WEG Motor'!$B$3:$AZ$55,
       MATCH(BI21,'WEG Motor'!$A$3:$A$55,0),
       MATCH(BJ21,'WEG Motor'!$B$2:$AZ$2,0))%</f>
        <v>#N/A</v>
      </c>
      <c r="BL21" s="161">
        <v>0.92</v>
      </c>
      <c r="BM21" s="161"/>
      <c r="BN21" s="162"/>
      <c r="BO21" s="163" t="e">
        <f>ROUND(((($BT$6*$BW$5*(C17*0.001)*D21)/1000)/BM21), 2)</f>
        <v>#DIV/0!</v>
      </c>
      <c r="BP21" s="22" t="e">
        <f t="shared" si="33"/>
        <v>#DIV/0!</v>
      </c>
      <c r="BQ21" s="242" t="e">
        <f t="shared" si="34"/>
        <v>#DIV/0!</v>
      </c>
      <c r="BR21" s="193"/>
    </row>
    <row r="22" spans="1:70" x14ac:dyDescent="0.3">
      <c r="A22" s="309"/>
      <c r="B22" s="309"/>
      <c r="C22" s="312"/>
      <c r="D22" s="164">
        <v>40</v>
      </c>
      <c r="E22" s="166"/>
      <c r="F22" s="146"/>
      <c r="G22" s="146"/>
      <c r="H22" s="147" t="e">
        <f>INDEX('WEG Motor'!$B$3:$AZ$55,
       MATCH(F22,'WEG Motor'!$A$3:$A$55,0),
       MATCH(G22,'WEG Motor'!$B$2:$AZ$2,0))%</f>
        <v>#N/A</v>
      </c>
      <c r="I22" s="147">
        <v>0.92</v>
      </c>
      <c r="J22" s="283"/>
      <c r="K22" s="148"/>
      <c r="L22" s="286" t="e">
        <f>ROUND(((($BT$6*$BW$5*(C17*0.001)*D22)/1000)/J22), 2)</f>
        <v>#DIV/0!</v>
      </c>
      <c r="M22" s="146" t="e">
        <f t="shared" si="28"/>
        <v>#DIV/0!</v>
      </c>
      <c r="N22" s="237" t="e">
        <f t="shared" si="14"/>
        <v>#DIV/0!</v>
      </c>
      <c r="O22" s="167"/>
      <c r="P22" s="211" t="s">
        <v>134</v>
      </c>
      <c r="Q22" s="23">
        <v>30</v>
      </c>
      <c r="R22" s="23" t="s">
        <v>35</v>
      </c>
      <c r="S22" s="149">
        <f>INDEX('WEG Motor'!$B$3:$AZ$55,
       MATCH(Q22,'WEG Motor'!$A$3:$A$55,0),
       MATCH(R22,'WEG Motor'!$B$2:$AZ$2,0))%</f>
        <v>0.93599999999999994</v>
      </c>
      <c r="T22" s="149">
        <v>0.92</v>
      </c>
      <c r="U22" s="149">
        <v>0.78059999999999996</v>
      </c>
      <c r="V22" s="150">
        <v>2.214</v>
      </c>
      <c r="W22" s="151">
        <f>ROUND(((($BT$6*$BW$5*(C17*0.001)*D22)/1000)/U22), 2)</f>
        <v>21.11</v>
      </c>
      <c r="X22" s="23">
        <f t="shared" si="29"/>
        <v>22.55</v>
      </c>
      <c r="Y22" s="238">
        <f t="shared" si="15"/>
        <v>24.51</v>
      </c>
      <c r="Z22" s="212"/>
      <c r="AA22" s="217"/>
      <c r="AB22" s="24"/>
      <c r="AC22" s="24"/>
      <c r="AD22" s="152" t="e">
        <f>INDEX('WEG Motor'!$B$3:$AZ$55,
       MATCH(AB22,'WEG Motor'!$A$3:$A$55,0),
       MATCH(AC22,'WEG Motor'!$B$2:$AZ$2,0))%</f>
        <v>#N/A</v>
      </c>
      <c r="AE22" s="152">
        <v>0.92</v>
      </c>
      <c r="AF22" s="152"/>
      <c r="AG22" s="153"/>
      <c r="AH22" s="154" t="e">
        <f>ROUND(((($BT$6*$BW$5*(C17*0.001)*D22)/1000)/AF22), 2)</f>
        <v>#DIV/0!</v>
      </c>
      <c r="AI22" s="24" t="e">
        <f t="shared" si="30"/>
        <v>#DIV/0!</v>
      </c>
      <c r="AJ22" s="239" t="e">
        <f t="shared" si="16"/>
        <v>#DIV/0!</v>
      </c>
      <c r="AK22" s="218"/>
      <c r="AL22" s="223"/>
      <c r="AM22" s="25"/>
      <c r="AN22" s="25"/>
      <c r="AO22" s="155" t="e">
        <f>INDEX('WEG Motor'!$B$3:$AZ$55,
       MATCH(AM22,'WEG Motor'!$A$3:$A$55,0),
       MATCH(AN22,'WEG Motor'!$B$2:$AZ$2,0))%</f>
        <v>#N/A</v>
      </c>
      <c r="AP22" s="155">
        <v>0.92</v>
      </c>
      <c r="AQ22" s="155"/>
      <c r="AR22" s="156"/>
      <c r="AS22" s="157" t="e">
        <f>ROUND(((($BT$6*$BW$5*(C17*0.001)*D22)/1000)/AQ22), 2)</f>
        <v>#DIV/0!</v>
      </c>
      <c r="AT22" s="25" t="e">
        <f t="shared" si="31"/>
        <v>#DIV/0!</v>
      </c>
      <c r="AU22" s="240" t="e">
        <f t="shared" si="17"/>
        <v>#DIV/0!</v>
      </c>
      <c r="AV22" s="224"/>
      <c r="AW22" s="229"/>
      <c r="AX22" s="12"/>
      <c r="AY22" s="12"/>
      <c r="AZ22" s="158" t="e">
        <f>INDEX('WEG Motor'!$B$3:$AZ$55,
       MATCH(AX22,'WEG Motor'!$A$3:$A$55,0),
       MATCH(AY22,'WEG Motor'!$B$2:$AZ$2,0))%</f>
        <v>#N/A</v>
      </c>
      <c r="BA22" s="158">
        <v>0.92</v>
      </c>
      <c r="BB22" s="158"/>
      <c r="BC22" s="159"/>
      <c r="BD22" s="160" t="e">
        <f>ROUND(((($BT$6*$BW$5*(C17*0.001)*D22)/1000)/BB22), 2)</f>
        <v>#DIV/0!</v>
      </c>
      <c r="BE22" s="12" t="e">
        <f t="shared" si="32"/>
        <v>#DIV/0!</v>
      </c>
      <c r="BF22" s="241" t="e">
        <f t="shared" si="18"/>
        <v>#DIV/0!</v>
      </c>
      <c r="BG22" s="230"/>
      <c r="BH22" s="234"/>
      <c r="BI22" s="22"/>
      <c r="BJ22" s="22"/>
      <c r="BK22" s="161" t="e">
        <f>INDEX('WEG Motor'!$B$3:$AZ$55,
       MATCH(BI22,'WEG Motor'!$A$3:$A$55,0),
       MATCH(BJ22,'WEG Motor'!$B$2:$AZ$2,0))%</f>
        <v>#N/A</v>
      </c>
      <c r="BL22" s="161">
        <v>0.92</v>
      </c>
      <c r="BM22" s="161"/>
      <c r="BN22" s="162"/>
      <c r="BO22" s="163" t="e">
        <f>ROUND(((($BT$6*$BW$5*(C17*0.001)*D22)/1000)/BM22), 2)</f>
        <v>#DIV/0!</v>
      </c>
      <c r="BP22" s="22" t="e">
        <f t="shared" si="33"/>
        <v>#DIV/0!</v>
      </c>
      <c r="BQ22" s="242" t="e">
        <f t="shared" si="34"/>
        <v>#DIV/0!</v>
      </c>
      <c r="BR22" s="193"/>
    </row>
    <row r="23" spans="1:70" ht="15" thickBot="1" x14ac:dyDescent="0.35">
      <c r="A23" s="310"/>
      <c r="B23" s="310"/>
      <c r="C23" s="313"/>
      <c r="D23" s="165">
        <v>45</v>
      </c>
      <c r="E23" s="168"/>
      <c r="F23" s="169"/>
      <c r="G23" s="169"/>
      <c r="H23" s="170" t="e">
        <f>INDEX('WEG Motor'!$B$3:$AZ$55,
       MATCH(F23,'WEG Motor'!$A$3:$A$55,0),
       MATCH(G23,'WEG Motor'!$B$2:$AZ$2,0))%</f>
        <v>#N/A</v>
      </c>
      <c r="I23" s="170">
        <v>0.92</v>
      </c>
      <c r="J23" s="284"/>
      <c r="K23" s="171"/>
      <c r="L23" s="287" t="e">
        <f>ROUND(((($BT$6*$BW$5*(C17*0.001)*D23)/1000)/J23), 2)</f>
        <v>#DIV/0!</v>
      </c>
      <c r="M23" s="169" t="e">
        <f t="shared" si="28"/>
        <v>#DIV/0!</v>
      </c>
      <c r="N23" s="247" t="e">
        <f t="shared" si="14"/>
        <v>#DIV/0!</v>
      </c>
      <c r="O23" s="172"/>
      <c r="P23" s="213" t="s">
        <v>135</v>
      </c>
      <c r="Q23" s="194">
        <v>30</v>
      </c>
      <c r="R23" s="194" t="s">
        <v>35</v>
      </c>
      <c r="S23" s="195">
        <f>INDEX('WEG Motor'!$B$3:$AZ$55,
       MATCH(Q23,'WEG Motor'!$A$3:$A$55,0),
       MATCH(R23,'WEG Motor'!$B$2:$AZ$2,0))%</f>
        <v>0.93599999999999994</v>
      </c>
      <c r="T23" s="195">
        <v>0.92</v>
      </c>
      <c r="U23" s="195">
        <v>0.74260000000000004</v>
      </c>
      <c r="V23" s="196">
        <v>2.9980000000000002</v>
      </c>
      <c r="W23" s="140">
        <f>ROUND(((($BT$6*$BW$5*(C17*0.001)*D23)/1000)/U23), 2)</f>
        <v>24.96</v>
      </c>
      <c r="X23" s="194">
        <f t="shared" si="29"/>
        <v>26.67</v>
      </c>
      <c r="Y23" s="246">
        <f t="shared" si="15"/>
        <v>28.99</v>
      </c>
      <c r="Z23" s="214"/>
      <c r="AA23" s="219"/>
      <c r="AB23" s="197"/>
      <c r="AC23" s="197"/>
      <c r="AD23" s="198" t="e">
        <f>INDEX('WEG Motor'!$B$3:$AZ$55,
       MATCH(AB23,'WEG Motor'!$A$3:$A$55,0),
       MATCH(AC23,'WEG Motor'!$B$2:$AZ$2,0))%</f>
        <v>#N/A</v>
      </c>
      <c r="AE23" s="198">
        <v>0.92</v>
      </c>
      <c r="AF23" s="198"/>
      <c r="AG23" s="199"/>
      <c r="AH23" s="141" t="e">
        <f>ROUND(((($BT$6*$BW$5*(C17*0.001)*D23)/1000)/AF23), 2)</f>
        <v>#DIV/0!</v>
      </c>
      <c r="AI23" s="197" t="e">
        <f t="shared" si="30"/>
        <v>#DIV/0!</v>
      </c>
      <c r="AJ23" s="245" t="e">
        <f t="shared" si="16"/>
        <v>#DIV/0!</v>
      </c>
      <c r="AK23" s="220"/>
      <c r="AL23" s="225"/>
      <c r="AM23" s="200"/>
      <c r="AN23" s="200"/>
      <c r="AO23" s="201" t="e">
        <f>INDEX('WEG Motor'!$B$3:$AZ$55,
       MATCH(AM23,'WEG Motor'!$A$3:$A$55,0),
       MATCH(AN23,'WEG Motor'!$B$2:$AZ$2,0))%</f>
        <v>#N/A</v>
      </c>
      <c r="AP23" s="201">
        <v>0.92</v>
      </c>
      <c r="AQ23" s="201"/>
      <c r="AR23" s="202"/>
      <c r="AS23" s="142" t="e">
        <f>ROUND(((($BT$6*$BW$5*(C17*0.001)*D23)/1000)/AQ23), 2)</f>
        <v>#DIV/0!</v>
      </c>
      <c r="AT23" s="200" t="e">
        <f t="shared" si="31"/>
        <v>#DIV/0!</v>
      </c>
      <c r="AU23" s="244" t="e">
        <f t="shared" si="17"/>
        <v>#DIV/0!</v>
      </c>
      <c r="AV23" s="226"/>
      <c r="AW23" s="231"/>
      <c r="AX23" s="203"/>
      <c r="AY23" s="203"/>
      <c r="AZ23" s="204" t="e">
        <f>INDEX('WEG Motor'!$B$3:$AZ$55,
       MATCH(AX23,'WEG Motor'!$A$3:$A$55,0),
       MATCH(AY23,'WEG Motor'!$B$2:$AZ$2,0))%</f>
        <v>#N/A</v>
      </c>
      <c r="BA23" s="204">
        <v>0.92</v>
      </c>
      <c r="BB23" s="204"/>
      <c r="BC23" s="205"/>
      <c r="BD23" s="143" t="e">
        <f>ROUND(((($BT$6*$BW$5*(C17*0.001)*D23)/1000)/BB23), 2)</f>
        <v>#DIV/0!</v>
      </c>
      <c r="BE23" s="203" t="e">
        <f t="shared" si="32"/>
        <v>#DIV/0!</v>
      </c>
      <c r="BF23" s="243" t="e">
        <f t="shared" si="18"/>
        <v>#DIV/0!</v>
      </c>
      <c r="BG23" s="232"/>
      <c r="BH23" s="235"/>
      <c r="BI23" s="66"/>
      <c r="BJ23" s="66"/>
      <c r="BK23" s="206" t="e">
        <f>INDEX('WEG Motor'!$B$3:$AZ$55,
       MATCH(BI23,'WEG Motor'!$A$3:$A$55,0),
       MATCH(BJ23,'WEG Motor'!$B$2:$AZ$2,0))%</f>
        <v>#N/A</v>
      </c>
      <c r="BL23" s="206">
        <v>0.92</v>
      </c>
      <c r="BM23" s="206"/>
      <c r="BN23" s="207"/>
      <c r="BO23" s="144" t="e">
        <f>ROUND(((($BT$6*$BW$5*(C17*0.001)*D23)/1000)/BM23), 2)</f>
        <v>#DIV/0!</v>
      </c>
      <c r="BP23" s="292" t="e">
        <f t="shared" si="33"/>
        <v>#DIV/0!</v>
      </c>
      <c r="BQ23" s="293" t="e">
        <f t="shared" si="34"/>
        <v>#DIV/0!</v>
      </c>
      <c r="BR23" s="208"/>
    </row>
    <row r="24" spans="1:70" x14ac:dyDescent="0.3">
      <c r="A24" s="308">
        <v>3</v>
      </c>
      <c r="B24" s="308">
        <v>400</v>
      </c>
      <c r="C24" s="311">
        <f>ROUND((B24 * $BW$7 * 1000) / ($BT$6 * $BW$3 * $BW$4), 0)</f>
        <v>48</v>
      </c>
      <c r="D24" s="145">
        <v>15</v>
      </c>
      <c r="E24" s="173"/>
      <c r="F24" s="53"/>
      <c r="G24" s="53"/>
      <c r="H24" s="174" t="e">
        <f>INDEX('WEG Motor'!$B$3:$AZ$55,
       MATCH(F24,'WEG Motor'!$A$3:$A$55,0),
       MATCH(G24,'WEG Motor'!$B$2:$AZ$2,0))%</f>
        <v>#N/A</v>
      </c>
      <c r="I24" s="174">
        <v>0.92</v>
      </c>
      <c r="J24" s="282"/>
      <c r="K24" s="175"/>
      <c r="L24" s="285" t="e">
        <f t="shared" ref="L24" si="36">ROUND(((($BT$6*$BW$5*(C24*0.001)*D24)/1000)/J24), 2)</f>
        <v>#DIV/0!</v>
      </c>
      <c r="M24" s="53" t="e">
        <f>ROUND((L24/H24),2)</f>
        <v>#DIV/0!</v>
      </c>
      <c r="N24" s="236" t="e">
        <f t="shared" si="14"/>
        <v>#DIV/0!</v>
      </c>
      <c r="O24" s="176"/>
      <c r="P24" s="209" t="s">
        <v>132</v>
      </c>
      <c r="Q24" s="177">
        <v>11</v>
      </c>
      <c r="R24" s="177" t="s">
        <v>35</v>
      </c>
      <c r="S24" s="178">
        <f>INDEX('WEG Motor'!$B$3:$AZ$55,
       MATCH(Q24,'WEG Motor'!$A$3:$A$55,0),
       MATCH(R24,'WEG Motor'!$B$2:$AZ$2,0))%</f>
        <v>0.91400000000000003</v>
      </c>
      <c r="T24" s="178">
        <v>0.92</v>
      </c>
      <c r="U24" s="178">
        <v>0.81499999999999995</v>
      </c>
      <c r="V24" s="179">
        <v>2.5489999999999999</v>
      </c>
      <c r="W24" s="297">
        <f>ROUND(((($BT$6*$BW$5*(C24*0.001)*D24)/1000)/U24), 2)</f>
        <v>8.66</v>
      </c>
      <c r="X24" s="177">
        <f>ROUND((W24/S24),2)</f>
        <v>9.4700000000000006</v>
      </c>
      <c r="Y24" s="276">
        <f t="shared" si="15"/>
        <v>10.29</v>
      </c>
      <c r="Z24" s="210"/>
      <c r="AA24" s="215"/>
      <c r="AB24" s="180"/>
      <c r="AC24" s="180"/>
      <c r="AD24" s="181" t="e">
        <f>INDEX('WEG Motor'!$B$3:$AZ$55,
       MATCH(AB24,'WEG Motor'!$A$3:$A$55,0),
       MATCH(AC24,'WEG Motor'!$B$2:$AZ$2,0))%</f>
        <v>#N/A</v>
      </c>
      <c r="AE24" s="181">
        <v>0.92</v>
      </c>
      <c r="AF24" s="181"/>
      <c r="AG24" s="182"/>
      <c r="AH24" s="296" t="e">
        <f>ROUND(((($BT$6*$BW$5*(C24*0.001)*D24)/1000)/AF24), 2)</f>
        <v>#DIV/0!</v>
      </c>
      <c r="AI24" s="180" t="e">
        <f>ROUND((AH24/AD24),2)</f>
        <v>#DIV/0!</v>
      </c>
      <c r="AJ24" s="277" t="e">
        <f t="shared" si="16"/>
        <v>#DIV/0!</v>
      </c>
      <c r="AK24" s="216"/>
      <c r="AL24" s="221"/>
      <c r="AM24" s="183"/>
      <c r="AN24" s="183"/>
      <c r="AO24" s="184" t="e">
        <f>INDEX('WEG Motor'!$B$3:$AZ$55,
       MATCH(AM24,'WEG Motor'!$A$3:$A$55,0),
       MATCH(AN24,'WEG Motor'!$B$2:$AZ$2,0))%</f>
        <v>#N/A</v>
      </c>
      <c r="AP24" s="184">
        <v>0.92</v>
      </c>
      <c r="AQ24" s="184"/>
      <c r="AR24" s="185"/>
      <c r="AS24" s="295" t="e">
        <f>ROUND(((($BT$6*$BW$5*(C24*0.001)*D24)/1000)/AQ24), 2)</f>
        <v>#DIV/0!</v>
      </c>
      <c r="AT24" s="183" t="e">
        <f>ROUND((AS24/AO24),2)</f>
        <v>#DIV/0!</v>
      </c>
      <c r="AU24" s="278" t="e">
        <f t="shared" si="17"/>
        <v>#DIV/0!</v>
      </c>
      <c r="AV24" s="222"/>
      <c r="AW24" s="227"/>
      <c r="AX24" s="186"/>
      <c r="AY24" s="186"/>
      <c r="AZ24" s="187" t="e">
        <f>INDEX('WEG Motor'!$B$3:$AZ$55,
       MATCH(AX24,'WEG Motor'!$A$3:$A$55,0),
       MATCH(AY24,'WEG Motor'!$B$2:$AZ$2,0))%</f>
        <v>#N/A</v>
      </c>
      <c r="BA24" s="187">
        <v>0.92</v>
      </c>
      <c r="BB24" s="187"/>
      <c r="BC24" s="188"/>
      <c r="BD24" s="294" t="e">
        <f>ROUND(((($BT$6*$BW$5*(C24*0.001)*D24)/1000)/BB24), 2)</f>
        <v>#DIV/0!</v>
      </c>
      <c r="BE24" s="186" t="e">
        <f>ROUND((BD24/AZ24),2)</f>
        <v>#DIV/0!</v>
      </c>
      <c r="BF24" s="279" t="e">
        <f t="shared" si="18"/>
        <v>#DIV/0!</v>
      </c>
      <c r="BG24" s="228"/>
      <c r="BH24" s="233"/>
      <c r="BI24" s="189"/>
      <c r="BJ24" s="189"/>
      <c r="BK24" s="190" t="e">
        <f>INDEX('WEG Motor'!$B$3:$AZ$55,
       MATCH(BI24,'WEG Motor'!$A$3:$A$55,0),
       MATCH(BJ24,'WEG Motor'!$B$2:$AZ$2,0))%</f>
        <v>#N/A</v>
      </c>
      <c r="BL24" s="190">
        <v>0.92</v>
      </c>
      <c r="BM24" s="190"/>
      <c r="BN24" s="191"/>
      <c r="BO24" s="289" t="e">
        <f>ROUND(((($BT$6*$BW$5*(C24*0.001)*D24)/1000)/BM24), 2)</f>
        <v>#DIV/0!</v>
      </c>
      <c r="BP24" s="290" t="e">
        <f>ROUND((BO24/BK24),2)</f>
        <v>#DIV/0!</v>
      </c>
      <c r="BQ24" s="291" t="e">
        <f>ROUND((BP24/BL24), 2)</f>
        <v>#DIV/0!</v>
      </c>
      <c r="BR24" s="192"/>
    </row>
    <row r="25" spans="1:70" x14ac:dyDescent="0.3">
      <c r="A25" s="309"/>
      <c r="B25" s="309"/>
      <c r="C25" s="312"/>
      <c r="D25" s="164">
        <v>20</v>
      </c>
      <c r="E25" s="166"/>
      <c r="F25" s="146"/>
      <c r="G25" s="146"/>
      <c r="H25" s="147" t="e">
        <f>INDEX('WEG Motor'!$B$3:$AZ$55,
       MATCH(F25,'WEG Motor'!$A$3:$A$55,0),
       MATCH(G25,'WEG Motor'!$B$2:$AZ$2,0))%</f>
        <v>#N/A</v>
      </c>
      <c r="I25" s="147">
        <v>0.92</v>
      </c>
      <c r="J25" s="283"/>
      <c r="K25" s="148"/>
      <c r="L25" s="286" t="e">
        <f>ROUND(((($BT$6*$BW$5*(C24*0.001)*D25)/1000)/J25), 2)</f>
        <v>#DIV/0!</v>
      </c>
      <c r="M25" s="146" t="e">
        <f t="shared" ref="M25:M30" si="37">ROUND((L25/H25),2)</f>
        <v>#DIV/0!</v>
      </c>
      <c r="N25" s="237" t="e">
        <f t="shared" si="14"/>
        <v>#DIV/0!</v>
      </c>
      <c r="O25" s="167"/>
      <c r="P25" s="211" t="s">
        <v>136</v>
      </c>
      <c r="Q25" s="23">
        <v>15</v>
      </c>
      <c r="R25" s="23" t="s">
        <v>35</v>
      </c>
      <c r="S25" s="149">
        <f>INDEX('WEG Motor'!$B$3:$AZ$55,
       MATCH(Q25,'WEG Motor'!$A$3:$A$55,0),
       MATCH(R25,'WEG Motor'!$B$2:$AZ$2,0))%</f>
        <v>0.92099999999999993</v>
      </c>
      <c r="T25" s="149">
        <v>0.92</v>
      </c>
      <c r="U25" s="149">
        <v>0.80820000000000003</v>
      </c>
      <c r="V25" s="150">
        <v>2.3959999999999999</v>
      </c>
      <c r="W25" s="151">
        <f>ROUND(((($BT$6*$BW$5*(C24*0.001)*D25)/1000)/U25), 2)</f>
        <v>11.65</v>
      </c>
      <c r="X25" s="23">
        <f t="shared" ref="X25:X30" si="38">ROUND((W25/S25),2)</f>
        <v>12.65</v>
      </c>
      <c r="Y25" s="238">
        <f t="shared" si="15"/>
        <v>13.75</v>
      </c>
      <c r="Z25" s="212"/>
      <c r="AA25" s="217"/>
      <c r="AB25" s="24"/>
      <c r="AC25" s="24"/>
      <c r="AD25" s="152" t="e">
        <f>INDEX('WEG Motor'!$B$3:$AZ$55,
       MATCH(AB25,'WEG Motor'!$A$3:$A$55,0),
       MATCH(AC25,'WEG Motor'!$B$2:$AZ$2,0))%</f>
        <v>#N/A</v>
      </c>
      <c r="AE25" s="152">
        <v>0.92</v>
      </c>
      <c r="AF25" s="152"/>
      <c r="AG25" s="153"/>
      <c r="AH25" s="154" t="e">
        <f>ROUND(((($BT$6*$BW$5*(C24*0.001)*D25)/1000)/AF25), 2)</f>
        <v>#DIV/0!</v>
      </c>
      <c r="AI25" s="24" t="e">
        <f t="shared" ref="AI25:AI30" si="39">ROUND((AH25/AD25),2)</f>
        <v>#DIV/0!</v>
      </c>
      <c r="AJ25" s="239" t="e">
        <f t="shared" si="16"/>
        <v>#DIV/0!</v>
      </c>
      <c r="AK25" s="218"/>
      <c r="AL25" s="223"/>
      <c r="AM25" s="25"/>
      <c r="AN25" s="25"/>
      <c r="AO25" s="155" t="e">
        <f>INDEX('WEG Motor'!$B$3:$AZ$55,
       MATCH(AM25,'WEG Motor'!$A$3:$A$55,0),
       MATCH(AN25,'WEG Motor'!$B$2:$AZ$2,0))%</f>
        <v>#N/A</v>
      </c>
      <c r="AP25" s="155">
        <v>0.92</v>
      </c>
      <c r="AQ25" s="155"/>
      <c r="AR25" s="156"/>
      <c r="AS25" s="157" t="e">
        <f>ROUND(((($BT$6*$BW$5*(C24*0.001)*D25)/1000)/AQ25), 2)</f>
        <v>#DIV/0!</v>
      </c>
      <c r="AT25" s="25" t="e">
        <f t="shared" ref="AT25:AT30" si="40">ROUND((AS25/AO25),2)</f>
        <v>#DIV/0!</v>
      </c>
      <c r="AU25" s="240" t="e">
        <f t="shared" si="17"/>
        <v>#DIV/0!</v>
      </c>
      <c r="AV25" s="224"/>
      <c r="AW25" s="229"/>
      <c r="AX25" s="12"/>
      <c r="AY25" s="12"/>
      <c r="AZ25" s="158" t="e">
        <f>INDEX('WEG Motor'!$B$3:$AZ$55,
       MATCH(AX25,'WEG Motor'!$A$3:$A$55,0),
       MATCH(AY25,'WEG Motor'!$B$2:$AZ$2,0))%</f>
        <v>#N/A</v>
      </c>
      <c r="BA25" s="158">
        <v>0.92</v>
      </c>
      <c r="BB25" s="158"/>
      <c r="BC25" s="159"/>
      <c r="BD25" s="160" t="e">
        <f>ROUND(((($BT$6*$BW$5*(C24*0.001)*D25)/1000)/BB25), 2)</f>
        <v>#DIV/0!</v>
      </c>
      <c r="BE25" s="12" t="e">
        <f t="shared" ref="BE25:BE30" si="41">ROUND((BD25/AZ25),2)</f>
        <v>#DIV/0!</v>
      </c>
      <c r="BF25" s="241" t="e">
        <f t="shared" si="18"/>
        <v>#DIV/0!</v>
      </c>
      <c r="BG25" s="230"/>
      <c r="BH25" s="234"/>
      <c r="BI25" s="22"/>
      <c r="BJ25" s="22"/>
      <c r="BK25" s="161" t="e">
        <f>INDEX('WEG Motor'!$B$3:$AZ$55,
       MATCH(BI25,'WEG Motor'!$A$3:$A$55,0),
       MATCH(BJ25,'WEG Motor'!$B$2:$AZ$2,0))%</f>
        <v>#N/A</v>
      </c>
      <c r="BL25" s="161">
        <v>0.92</v>
      </c>
      <c r="BM25" s="161"/>
      <c r="BN25" s="162"/>
      <c r="BO25" s="163" t="e">
        <f>ROUND(((($BT$6*$BW$5*(C24*0.001)*D25)/1000)/BM25), 2)</f>
        <v>#DIV/0!</v>
      </c>
      <c r="BP25" s="22" t="e">
        <f t="shared" ref="BP25:BP30" si="42">ROUND((BO25/BK25),2)</f>
        <v>#DIV/0!</v>
      </c>
      <c r="BQ25" s="242" t="e">
        <f t="shared" ref="BQ25:BQ30" si="43">ROUND((BP25/BL25), 2)</f>
        <v>#DIV/0!</v>
      </c>
      <c r="BR25" s="193"/>
    </row>
    <row r="26" spans="1:70" x14ac:dyDescent="0.3">
      <c r="A26" s="309"/>
      <c r="B26" s="309"/>
      <c r="C26" s="312"/>
      <c r="D26" s="164">
        <v>25</v>
      </c>
      <c r="E26" s="166"/>
      <c r="F26" s="146"/>
      <c r="G26" s="146"/>
      <c r="H26" s="147" t="e">
        <f>INDEX('WEG Motor'!$B$3:$AZ$55,
       MATCH(F26,'WEG Motor'!$A$3:$A$55,0),
       MATCH(G26,'WEG Motor'!$B$2:$AZ$2,0))%</f>
        <v>#N/A</v>
      </c>
      <c r="I26" s="147">
        <v>0.92</v>
      </c>
      <c r="J26" s="283"/>
      <c r="K26" s="148"/>
      <c r="L26" s="286" t="e">
        <f>ROUND(((($BT$6*$BW$5*(C24*0.001)*D26)/1000)/J26), 2)</f>
        <v>#DIV/0!</v>
      </c>
      <c r="M26" s="146" t="e">
        <f t="shared" si="37"/>
        <v>#DIV/0!</v>
      </c>
      <c r="N26" s="237" t="e">
        <f t="shared" si="14"/>
        <v>#DIV/0!</v>
      </c>
      <c r="O26" s="167"/>
      <c r="P26" s="211" t="s">
        <v>48</v>
      </c>
      <c r="Q26" s="23">
        <v>18.5</v>
      </c>
      <c r="R26" s="23" t="s">
        <v>35</v>
      </c>
      <c r="S26" s="149">
        <f>INDEX('WEG Motor'!$B$3:$AZ$55,
       MATCH(Q26,'WEG Motor'!$A$3:$A$55,0),
       MATCH(R26,'WEG Motor'!$B$2:$AZ$2,0))%</f>
        <v>0.92599999999999993</v>
      </c>
      <c r="T26" s="149">
        <v>0.92</v>
      </c>
      <c r="U26" s="149">
        <v>0.82230000000000003</v>
      </c>
      <c r="V26" s="150">
        <v>2.6379999999999999</v>
      </c>
      <c r="W26" s="151">
        <f>ROUND(((($BT$6*$BW$5*(C24*0.001)*D26)/1000)/U26), 2)</f>
        <v>14.31</v>
      </c>
      <c r="X26" s="23">
        <f t="shared" si="38"/>
        <v>15.45</v>
      </c>
      <c r="Y26" s="238">
        <f t="shared" si="15"/>
        <v>16.79</v>
      </c>
      <c r="Z26" s="212"/>
      <c r="AA26" s="217"/>
      <c r="AB26" s="24"/>
      <c r="AC26" s="24"/>
      <c r="AD26" s="152" t="e">
        <f>INDEX('WEG Motor'!$B$3:$AZ$55,
       MATCH(AB26,'WEG Motor'!$A$3:$A$55,0),
       MATCH(AC26,'WEG Motor'!$B$2:$AZ$2,0))%</f>
        <v>#N/A</v>
      </c>
      <c r="AE26" s="152">
        <v>0.92</v>
      </c>
      <c r="AF26" s="152"/>
      <c r="AG26" s="153"/>
      <c r="AH26" s="154" t="e">
        <f>ROUND(((($BT$6*$BW$5*(C24*0.001)*D26)/1000)/AF26), 2)</f>
        <v>#DIV/0!</v>
      </c>
      <c r="AI26" s="24" t="e">
        <f t="shared" si="39"/>
        <v>#DIV/0!</v>
      </c>
      <c r="AJ26" s="239" t="e">
        <f t="shared" si="16"/>
        <v>#DIV/0!</v>
      </c>
      <c r="AK26" s="218"/>
      <c r="AL26" s="223"/>
      <c r="AM26" s="25"/>
      <c r="AN26" s="25"/>
      <c r="AO26" s="155" t="e">
        <f>INDEX('WEG Motor'!$B$3:$AZ$55,
       MATCH(AM26,'WEG Motor'!$A$3:$A$55,0),
       MATCH(AN26,'WEG Motor'!$B$2:$AZ$2,0))%</f>
        <v>#N/A</v>
      </c>
      <c r="AP26" s="155">
        <v>0.92</v>
      </c>
      <c r="AQ26" s="155"/>
      <c r="AR26" s="156"/>
      <c r="AS26" s="157" t="e">
        <f>ROUND(((($BT$6*$BW$5*(C24*0.001)*D26)/1000)/AQ26), 2)</f>
        <v>#DIV/0!</v>
      </c>
      <c r="AT26" s="25" t="e">
        <f t="shared" si="40"/>
        <v>#DIV/0!</v>
      </c>
      <c r="AU26" s="240" t="e">
        <f t="shared" si="17"/>
        <v>#DIV/0!</v>
      </c>
      <c r="AV26" s="224"/>
      <c r="AW26" s="229"/>
      <c r="AX26" s="12"/>
      <c r="AY26" s="12"/>
      <c r="AZ26" s="158" t="e">
        <f>INDEX('WEG Motor'!$B$3:$AZ$55,
       MATCH(AX26,'WEG Motor'!$A$3:$A$55,0),
       MATCH(AY26,'WEG Motor'!$B$2:$AZ$2,0))%</f>
        <v>#N/A</v>
      </c>
      <c r="BA26" s="158">
        <v>0.92</v>
      </c>
      <c r="BB26" s="158"/>
      <c r="BC26" s="159"/>
      <c r="BD26" s="160" t="e">
        <f>ROUND(((($BT$6*$BW$5*(C24*0.001)*D26)/1000)/BB26), 2)</f>
        <v>#DIV/0!</v>
      </c>
      <c r="BE26" s="12" t="e">
        <f t="shared" si="41"/>
        <v>#DIV/0!</v>
      </c>
      <c r="BF26" s="241" t="e">
        <f t="shared" si="18"/>
        <v>#DIV/0!</v>
      </c>
      <c r="BG26" s="230"/>
      <c r="BH26" s="234"/>
      <c r="BI26" s="22"/>
      <c r="BJ26" s="22"/>
      <c r="BK26" s="161" t="e">
        <f>INDEX('WEG Motor'!$B$3:$AZ$55,
       MATCH(BI26,'WEG Motor'!$A$3:$A$55,0),
       MATCH(BJ26,'WEG Motor'!$B$2:$AZ$2,0))%</f>
        <v>#N/A</v>
      </c>
      <c r="BL26" s="161">
        <v>0.92</v>
      </c>
      <c r="BM26" s="161"/>
      <c r="BN26" s="162"/>
      <c r="BO26" s="163" t="e">
        <f>ROUND(((($BT$6*$BW$5*(C24*0.001)*D26)/1000)/BM26), 2)</f>
        <v>#DIV/0!</v>
      </c>
      <c r="BP26" s="22" t="e">
        <f t="shared" si="42"/>
        <v>#DIV/0!</v>
      </c>
      <c r="BQ26" s="242" t="e">
        <f t="shared" si="43"/>
        <v>#DIV/0!</v>
      </c>
      <c r="BR26" s="193"/>
    </row>
    <row r="27" spans="1:70" x14ac:dyDescent="0.3">
      <c r="A27" s="309"/>
      <c r="B27" s="309"/>
      <c r="C27" s="312"/>
      <c r="D27" s="164">
        <v>30</v>
      </c>
      <c r="E27" s="166"/>
      <c r="F27" s="146"/>
      <c r="G27" s="146"/>
      <c r="H27" s="147" t="e">
        <f>INDEX('WEG Motor'!$B$3:$AZ$55,
       MATCH(F27,'WEG Motor'!$A$3:$A$55,0),
       MATCH(G27,'WEG Motor'!$B$2:$AZ$2,0))%</f>
        <v>#N/A</v>
      </c>
      <c r="I27" s="147">
        <v>0.92</v>
      </c>
      <c r="J27" s="283"/>
      <c r="K27" s="148"/>
      <c r="L27" s="286" t="e">
        <f>ROUND(((($BT$6*$BW$5*(C24*0.001)*D27)/1000)/J27), 2)</f>
        <v>#DIV/0!</v>
      </c>
      <c r="M27" s="146" t="e">
        <f t="shared" si="37"/>
        <v>#DIV/0!</v>
      </c>
      <c r="N27" s="237" t="e">
        <f t="shared" si="14"/>
        <v>#DIV/0!</v>
      </c>
      <c r="O27" s="167"/>
      <c r="P27" s="211" t="s">
        <v>137</v>
      </c>
      <c r="Q27" s="23">
        <v>22</v>
      </c>
      <c r="R27" s="23" t="s">
        <v>35</v>
      </c>
      <c r="S27" s="149">
        <f>INDEX('WEG Motor'!$B$3:$AZ$55,
       MATCH(Q27,'WEG Motor'!$A$3:$A$55,0),
       MATCH(R27,'WEG Motor'!$B$2:$AZ$2,0))%</f>
        <v>0.93099999999999994</v>
      </c>
      <c r="T27" s="149">
        <v>0.92</v>
      </c>
      <c r="U27" s="149">
        <v>0.83069999999999999</v>
      </c>
      <c r="V27" s="150">
        <v>2.6379999999999999</v>
      </c>
      <c r="W27" s="238">
        <f>ROUND(((($BT$6*$BW$5*(C24*0.001)*D27)/1000)/U27), 2)</f>
        <v>17</v>
      </c>
      <c r="X27" s="23">
        <f t="shared" si="38"/>
        <v>18.260000000000002</v>
      </c>
      <c r="Y27" s="238">
        <f t="shared" si="15"/>
        <v>19.850000000000001</v>
      </c>
      <c r="Z27" s="212"/>
      <c r="AA27" s="217"/>
      <c r="AB27" s="24"/>
      <c r="AC27" s="24"/>
      <c r="AD27" s="152" t="e">
        <f>INDEX('WEG Motor'!$B$3:$AZ$55,
       MATCH(AB27,'WEG Motor'!$A$3:$A$55,0),
       MATCH(AC27,'WEG Motor'!$B$2:$AZ$2,0))%</f>
        <v>#N/A</v>
      </c>
      <c r="AE27" s="152">
        <v>0.92</v>
      </c>
      <c r="AF27" s="152"/>
      <c r="AG27" s="153"/>
      <c r="AH27" s="154" t="e">
        <f>ROUND(((($BT$6*$BW$5*(C24*0.001)*D27)/1000)/AF27), 2)</f>
        <v>#DIV/0!</v>
      </c>
      <c r="AI27" s="24" t="e">
        <f t="shared" si="39"/>
        <v>#DIV/0!</v>
      </c>
      <c r="AJ27" s="239" t="e">
        <f t="shared" si="16"/>
        <v>#DIV/0!</v>
      </c>
      <c r="AK27" s="218"/>
      <c r="AL27" s="223"/>
      <c r="AM27" s="25"/>
      <c r="AN27" s="25"/>
      <c r="AO27" s="155" t="e">
        <f>INDEX('WEG Motor'!$B$3:$AZ$55,
       MATCH(AM27,'WEG Motor'!$A$3:$A$55,0),
       MATCH(AN27,'WEG Motor'!$B$2:$AZ$2,0))%</f>
        <v>#N/A</v>
      </c>
      <c r="AP27" s="155">
        <v>0.92</v>
      </c>
      <c r="AQ27" s="155"/>
      <c r="AR27" s="156"/>
      <c r="AS27" s="157" t="e">
        <f>ROUND(((($BT$6*$BW$5*(C24*0.001)*D27)/1000)/AQ27), 2)</f>
        <v>#DIV/0!</v>
      </c>
      <c r="AT27" s="25" t="e">
        <f t="shared" si="40"/>
        <v>#DIV/0!</v>
      </c>
      <c r="AU27" s="240" t="e">
        <f t="shared" si="17"/>
        <v>#DIV/0!</v>
      </c>
      <c r="AV27" s="224"/>
      <c r="AW27" s="229"/>
      <c r="AX27" s="12"/>
      <c r="AY27" s="12"/>
      <c r="AZ27" s="158" t="e">
        <f>INDEX('WEG Motor'!$B$3:$AZ$55,
       MATCH(AX27,'WEG Motor'!$A$3:$A$55,0),
       MATCH(AY27,'WEG Motor'!$B$2:$AZ$2,0))%</f>
        <v>#N/A</v>
      </c>
      <c r="BA27" s="158">
        <v>0.92</v>
      </c>
      <c r="BB27" s="158"/>
      <c r="BC27" s="159"/>
      <c r="BD27" s="160" t="e">
        <f>ROUND(((($BT$6*$BW$5*(C24*0.001)*D27)/1000)/BB27), 2)</f>
        <v>#DIV/0!</v>
      </c>
      <c r="BE27" s="12" t="e">
        <f t="shared" si="41"/>
        <v>#DIV/0!</v>
      </c>
      <c r="BF27" s="241" t="e">
        <f t="shared" si="18"/>
        <v>#DIV/0!</v>
      </c>
      <c r="BG27" s="230"/>
      <c r="BH27" s="234"/>
      <c r="BI27" s="22"/>
      <c r="BJ27" s="22"/>
      <c r="BK27" s="161" t="e">
        <f>INDEX('WEG Motor'!$B$3:$AZ$55,
       MATCH(BI27,'WEG Motor'!$A$3:$A$55,0),
       MATCH(BJ27,'WEG Motor'!$B$2:$AZ$2,0))%</f>
        <v>#N/A</v>
      </c>
      <c r="BL27" s="161">
        <v>0.92</v>
      </c>
      <c r="BM27" s="161"/>
      <c r="BN27" s="162"/>
      <c r="BO27" s="163" t="e">
        <f>ROUND(((($BT$6*$BW$5*(C24*0.001)*D27)/1000)/BM27), 2)</f>
        <v>#DIV/0!</v>
      </c>
      <c r="BP27" s="22" t="e">
        <f t="shared" si="42"/>
        <v>#DIV/0!</v>
      </c>
      <c r="BQ27" s="242" t="e">
        <f t="shared" si="43"/>
        <v>#DIV/0!</v>
      </c>
      <c r="BR27" s="193"/>
    </row>
    <row r="28" spans="1:70" x14ac:dyDescent="0.3">
      <c r="A28" s="309"/>
      <c r="B28" s="309"/>
      <c r="C28" s="312"/>
      <c r="D28" s="164">
        <v>35</v>
      </c>
      <c r="E28" s="166"/>
      <c r="F28" s="146"/>
      <c r="G28" s="146"/>
      <c r="H28" s="147" t="e">
        <f>INDEX('WEG Motor'!$B$3:$AZ$55,
       MATCH(F28,'WEG Motor'!$A$3:$A$55,0),
       MATCH(G28,'WEG Motor'!$B$2:$AZ$2,0))%</f>
        <v>#N/A</v>
      </c>
      <c r="I28" s="147">
        <v>0.92</v>
      </c>
      <c r="J28" s="283"/>
      <c r="K28" s="148"/>
      <c r="L28" s="286" t="e">
        <f t="shared" ref="L28" si="44">ROUND(((($BT$6*$BW$5*(C28*0.001)*D28)/1000)/J28), 2)</f>
        <v>#DIV/0!</v>
      </c>
      <c r="M28" s="146" t="e">
        <f t="shared" si="37"/>
        <v>#DIV/0!</v>
      </c>
      <c r="N28" s="237" t="e">
        <f t="shared" si="14"/>
        <v>#DIV/0!</v>
      </c>
      <c r="O28" s="167"/>
      <c r="P28" s="211" t="s">
        <v>134</v>
      </c>
      <c r="Q28" s="23">
        <v>30</v>
      </c>
      <c r="R28" s="23" t="s">
        <v>35</v>
      </c>
      <c r="S28" s="149">
        <f>INDEX('WEG Motor'!$B$3:$AZ$55,
       MATCH(Q28,'WEG Motor'!$A$3:$A$55,0),
       MATCH(R28,'WEG Motor'!$B$2:$AZ$2,0))%</f>
        <v>0.93599999999999994</v>
      </c>
      <c r="T28" s="149">
        <v>0.92</v>
      </c>
      <c r="U28" s="149">
        <v>0.82199999999999995</v>
      </c>
      <c r="V28" s="150">
        <v>2.66</v>
      </c>
      <c r="W28" s="151">
        <f>ROUND(((($BT$6*$BW$5*(C24*0.001)*D28)/1000)/U28), 2)</f>
        <v>20.05</v>
      </c>
      <c r="X28" s="23">
        <f t="shared" si="38"/>
        <v>21.42</v>
      </c>
      <c r="Y28" s="238">
        <f t="shared" si="15"/>
        <v>23.28</v>
      </c>
      <c r="Z28" s="212"/>
      <c r="AA28" s="217"/>
      <c r="AB28" s="24"/>
      <c r="AC28" s="24"/>
      <c r="AD28" s="152" t="e">
        <f>INDEX('WEG Motor'!$B$3:$AZ$55,
       MATCH(AB28,'WEG Motor'!$A$3:$A$55,0),
       MATCH(AC28,'WEG Motor'!$B$2:$AZ$2,0))%</f>
        <v>#N/A</v>
      </c>
      <c r="AE28" s="152">
        <v>0.92</v>
      </c>
      <c r="AF28" s="152"/>
      <c r="AG28" s="153"/>
      <c r="AH28" s="154" t="e">
        <f>ROUND(((($BT$6*$BW$5*(C24*0.001)*D28)/1000)/AF28), 2)</f>
        <v>#DIV/0!</v>
      </c>
      <c r="AI28" s="24" t="e">
        <f t="shared" si="39"/>
        <v>#DIV/0!</v>
      </c>
      <c r="AJ28" s="239" t="e">
        <f t="shared" si="16"/>
        <v>#DIV/0!</v>
      </c>
      <c r="AK28" s="218"/>
      <c r="AL28" s="223"/>
      <c r="AM28" s="25"/>
      <c r="AN28" s="25"/>
      <c r="AO28" s="155" t="e">
        <f>INDEX('WEG Motor'!$B$3:$AZ$55,
       MATCH(AM28,'WEG Motor'!$A$3:$A$55,0),
       MATCH(AN28,'WEG Motor'!$B$2:$AZ$2,0))%</f>
        <v>#N/A</v>
      </c>
      <c r="AP28" s="155">
        <v>0.92</v>
      </c>
      <c r="AQ28" s="155"/>
      <c r="AR28" s="156"/>
      <c r="AS28" s="157" t="e">
        <f>ROUND(((($BT$6*$BW$5*(C24*0.001)*D28)/1000)/AQ28), 2)</f>
        <v>#DIV/0!</v>
      </c>
      <c r="AT28" s="25" t="e">
        <f t="shared" si="40"/>
        <v>#DIV/0!</v>
      </c>
      <c r="AU28" s="240" t="e">
        <f t="shared" si="17"/>
        <v>#DIV/0!</v>
      </c>
      <c r="AV28" s="224"/>
      <c r="AW28" s="229"/>
      <c r="AX28" s="12"/>
      <c r="AY28" s="12"/>
      <c r="AZ28" s="158" t="e">
        <f>INDEX('WEG Motor'!$B$3:$AZ$55,
       MATCH(AX28,'WEG Motor'!$A$3:$A$55,0),
       MATCH(AY28,'WEG Motor'!$B$2:$AZ$2,0))%</f>
        <v>#N/A</v>
      </c>
      <c r="BA28" s="158">
        <v>0.92</v>
      </c>
      <c r="BB28" s="158"/>
      <c r="BC28" s="159"/>
      <c r="BD28" s="160" t="e">
        <f>ROUND(((($BT$6*$BW$5*(C24*0.001)*D28)/1000)/BB28), 2)</f>
        <v>#DIV/0!</v>
      </c>
      <c r="BE28" s="12" t="e">
        <f t="shared" si="41"/>
        <v>#DIV/0!</v>
      </c>
      <c r="BF28" s="241" t="e">
        <f t="shared" si="18"/>
        <v>#DIV/0!</v>
      </c>
      <c r="BG28" s="230"/>
      <c r="BH28" s="234"/>
      <c r="BI28" s="22"/>
      <c r="BJ28" s="22"/>
      <c r="BK28" s="161" t="e">
        <f>INDEX('WEG Motor'!$B$3:$AZ$55,
       MATCH(BI28,'WEG Motor'!$A$3:$A$55,0),
       MATCH(BJ28,'WEG Motor'!$B$2:$AZ$2,0))%</f>
        <v>#N/A</v>
      </c>
      <c r="BL28" s="161">
        <v>0.92</v>
      </c>
      <c r="BM28" s="161"/>
      <c r="BN28" s="162"/>
      <c r="BO28" s="163" t="e">
        <f>ROUND(((($BT$6*$BW$5*(C24*0.001)*D28)/1000)/BM28), 2)</f>
        <v>#DIV/0!</v>
      </c>
      <c r="BP28" s="22" t="e">
        <f t="shared" si="42"/>
        <v>#DIV/0!</v>
      </c>
      <c r="BQ28" s="242" t="e">
        <f t="shared" si="43"/>
        <v>#DIV/0!</v>
      </c>
      <c r="BR28" s="193"/>
    </row>
    <row r="29" spans="1:70" x14ac:dyDescent="0.3">
      <c r="A29" s="309"/>
      <c r="B29" s="309"/>
      <c r="C29" s="312"/>
      <c r="D29" s="164">
        <v>40</v>
      </c>
      <c r="E29" s="166"/>
      <c r="F29" s="146"/>
      <c r="G29" s="146"/>
      <c r="H29" s="147" t="e">
        <f>INDEX('WEG Motor'!$B$3:$AZ$55,
       MATCH(F29,'WEG Motor'!$A$3:$A$55,0),
       MATCH(G29,'WEG Motor'!$B$2:$AZ$2,0))%</f>
        <v>#N/A</v>
      </c>
      <c r="I29" s="147">
        <v>0.92</v>
      </c>
      <c r="J29" s="283"/>
      <c r="K29" s="148"/>
      <c r="L29" s="286" t="e">
        <f>ROUND(((($BT$6*$BW$5*(C24*0.001)*D29)/1000)/J29), 2)</f>
        <v>#DIV/0!</v>
      </c>
      <c r="M29" s="146" t="e">
        <f t="shared" si="37"/>
        <v>#DIV/0!</v>
      </c>
      <c r="N29" s="237" t="e">
        <f t="shared" si="14"/>
        <v>#DIV/0!</v>
      </c>
      <c r="O29" s="167"/>
      <c r="P29" s="211" t="s">
        <v>138</v>
      </c>
      <c r="Q29" s="23">
        <v>30</v>
      </c>
      <c r="R29" s="23" t="s">
        <v>35</v>
      </c>
      <c r="S29" s="149">
        <f>INDEX('WEG Motor'!$B$3:$AZ$55,
       MATCH(Q29,'WEG Motor'!$A$3:$A$55,0),
       MATCH(R29,'WEG Motor'!$B$2:$AZ$2,0))%</f>
        <v>0.93599999999999994</v>
      </c>
      <c r="T29" s="149">
        <v>0.92</v>
      </c>
      <c r="U29" s="149">
        <v>0.77329999999999999</v>
      </c>
      <c r="V29" s="150">
        <v>2.4369999999999998</v>
      </c>
      <c r="W29" s="151">
        <f>ROUND(((($BT$6*$BW$5*(C24*0.001)*D29)/1000)/U29), 2)</f>
        <v>24.35</v>
      </c>
      <c r="X29" s="23">
        <f t="shared" si="38"/>
        <v>26.01</v>
      </c>
      <c r="Y29" s="238">
        <f t="shared" si="15"/>
        <v>28.27</v>
      </c>
      <c r="Z29" s="212"/>
      <c r="AA29" s="217"/>
      <c r="AB29" s="24"/>
      <c r="AC29" s="24"/>
      <c r="AD29" s="152" t="e">
        <f>INDEX('WEG Motor'!$B$3:$AZ$55,
       MATCH(AB29,'WEG Motor'!$A$3:$A$55,0),
       MATCH(AC29,'WEG Motor'!$B$2:$AZ$2,0))%</f>
        <v>#N/A</v>
      </c>
      <c r="AE29" s="152">
        <v>0.92</v>
      </c>
      <c r="AF29" s="152"/>
      <c r="AG29" s="153"/>
      <c r="AH29" s="154" t="e">
        <f>ROUND(((($BT$6*$BW$5*(C24*0.001)*D29)/1000)/AF29), 2)</f>
        <v>#DIV/0!</v>
      </c>
      <c r="AI29" s="24" t="e">
        <f t="shared" si="39"/>
        <v>#DIV/0!</v>
      </c>
      <c r="AJ29" s="239" t="e">
        <f t="shared" si="16"/>
        <v>#DIV/0!</v>
      </c>
      <c r="AK29" s="218"/>
      <c r="AL29" s="223"/>
      <c r="AM29" s="25"/>
      <c r="AN29" s="25"/>
      <c r="AO29" s="155" t="e">
        <f>INDEX('WEG Motor'!$B$3:$AZ$55,
       MATCH(AM29,'WEG Motor'!$A$3:$A$55,0),
       MATCH(AN29,'WEG Motor'!$B$2:$AZ$2,0))%</f>
        <v>#N/A</v>
      </c>
      <c r="AP29" s="155">
        <v>0.92</v>
      </c>
      <c r="AQ29" s="155"/>
      <c r="AR29" s="156"/>
      <c r="AS29" s="157" t="e">
        <f>ROUND(((($BT$6*$BW$5*(C24*0.001)*D29)/1000)/AQ29), 2)</f>
        <v>#DIV/0!</v>
      </c>
      <c r="AT29" s="25" t="e">
        <f t="shared" si="40"/>
        <v>#DIV/0!</v>
      </c>
      <c r="AU29" s="240" t="e">
        <f t="shared" si="17"/>
        <v>#DIV/0!</v>
      </c>
      <c r="AV29" s="224"/>
      <c r="AW29" s="229"/>
      <c r="AX29" s="12"/>
      <c r="AY29" s="12"/>
      <c r="AZ29" s="158" t="e">
        <f>INDEX('WEG Motor'!$B$3:$AZ$55,
       MATCH(AX29,'WEG Motor'!$A$3:$A$55,0),
       MATCH(AY29,'WEG Motor'!$B$2:$AZ$2,0))%</f>
        <v>#N/A</v>
      </c>
      <c r="BA29" s="158">
        <v>0.92</v>
      </c>
      <c r="BB29" s="158"/>
      <c r="BC29" s="159"/>
      <c r="BD29" s="160" t="e">
        <f>ROUND(((($BT$6*$BW$5*(C24*0.001)*D29)/1000)/BB29), 2)</f>
        <v>#DIV/0!</v>
      </c>
      <c r="BE29" s="12" t="e">
        <f t="shared" si="41"/>
        <v>#DIV/0!</v>
      </c>
      <c r="BF29" s="241" t="e">
        <f t="shared" si="18"/>
        <v>#DIV/0!</v>
      </c>
      <c r="BG29" s="230"/>
      <c r="BH29" s="234"/>
      <c r="BI29" s="22"/>
      <c r="BJ29" s="22"/>
      <c r="BK29" s="161" t="e">
        <f>INDEX('WEG Motor'!$B$3:$AZ$55,
       MATCH(BI29,'WEG Motor'!$A$3:$A$55,0),
       MATCH(BJ29,'WEG Motor'!$B$2:$AZ$2,0))%</f>
        <v>#N/A</v>
      </c>
      <c r="BL29" s="161">
        <v>0.92</v>
      </c>
      <c r="BM29" s="161"/>
      <c r="BN29" s="162"/>
      <c r="BO29" s="163" t="e">
        <f>ROUND(((($BT$6*$BW$5*(C24*0.001)*D29)/1000)/BM29), 2)</f>
        <v>#DIV/0!</v>
      </c>
      <c r="BP29" s="22" t="e">
        <f t="shared" si="42"/>
        <v>#DIV/0!</v>
      </c>
      <c r="BQ29" s="242" t="e">
        <f t="shared" si="43"/>
        <v>#DIV/0!</v>
      </c>
      <c r="BR29" s="193"/>
    </row>
    <row r="30" spans="1:70" ht="15" thickBot="1" x14ac:dyDescent="0.35">
      <c r="A30" s="310"/>
      <c r="B30" s="310"/>
      <c r="C30" s="313"/>
      <c r="D30" s="165">
        <v>45</v>
      </c>
      <c r="E30" s="168"/>
      <c r="F30" s="169"/>
      <c r="G30" s="169"/>
      <c r="H30" s="170" t="e">
        <f>INDEX('WEG Motor'!$B$3:$AZ$55,
       MATCH(F30,'WEG Motor'!$A$3:$A$55,0),
       MATCH(G30,'WEG Motor'!$B$2:$AZ$2,0))%</f>
        <v>#N/A</v>
      </c>
      <c r="I30" s="170">
        <v>0.92</v>
      </c>
      <c r="J30" s="284"/>
      <c r="K30" s="171"/>
      <c r="L30" s="287" t="e">
        <f>ROUND(((($BT$6*$BW$5*(C24*0.001)*D30)/1000)/J30), 2)</f>
        <v>#DIV/0!</v>
      </c>
      <c r="M30" s="169" t="e">
        <f t="shared" si="37"/>
        <v>#DIV/0!</v>
      </c>
      <c r="N30" s="247" t="e">
        <f t="shared" si="14"/>
        <v>#DIV/0!</v>
      </c>
      <c r="O30" s="172"/>
      <c r="P30" s="213" t="s">
        <v>139</v>
      </c>
      <c r="Q30" s="194">
        <v>37</v>
      </c>
      <c r="R30" s="194" t="s">
        <v>35</v>
      </c>
      <c r="S30" s="195">
        <f>INDEX('WEG Motor'!$B$3:$AZ$55,
       MATCH(Q30,'WEG Motor'!$A$3:$A$55,0),
       MATCH(R30,'WEG Motor'!$B$2:$AZ$2,0))%</f>
        <v>0.93900000000000006</v>
      </c>
      <c r="T30" s="195">
        <v>0.92</v>
      </c>
      <c r="U30" s="195">
        <v>0.76229999999999998</v>
      </c>
      <c r="V30" s="196">
        <v>2.4369999999999998</v>
      </c>
      <c r="W30" s="140">
        <f>ROUND(((($BT$6*$BW$5*(C24*0.001)*D30)/1000)/U30), 2)</f>
        <v>27.79</v>
      </c>
      <c r="X30" s="194">
        <f t="shared" si="38"/>
        <v>29.6</v>
      </c>
      <c r="Y30" s="246">
        <f t="shared" si="15"/>
        <v>32.17</v>
      </c>
      <c r="Z30" s="214"/>
      <c r="AA30" s="219"/>
      <c r="AB30" s="197"/>
      <c r="AC30" s="197"/>
      <c r="AD30" s="198" t="e">
        <f>INDEX('WEG Motor'!$B$3:$AZ$55,
       MATCH(AB30,'WEG Motor'!$A$3:$A$55,0),
       MATCH(AC30,'WEG Motor'!$B$2:$AZ$2,0))%</f>
        <v>#N/A</v>
      </c>
      <c r="AE30" s="198">
        <v>0.92</v>
      </c>
      <c r="AF30" s="198"/>
      <c r="AG30" s="199"/>
      <c r="AH30" s="141" t="e">
        <f>ROUND(((($BT$6*$BW$5*(C24*0.001)*D30)/1000)/AF30), 2)</f>
        <v>#DIV/0!</v>
      </c>
      <c r="AI30" s="197" t="e">
        <f t="shared" si="39"/>
        <v>#DIV/0!</v>
      </c>
      <c r="AJ30" s="245" t="e">
        <f t="shared" si="16"/>
        <v>#DIV/0!</v>
      </c>
      <c r="AK30" s="220"/>
      <c r="AL30" s="225"/>
      <c r="AM30" s="200"/>
      <c r="AN30" s="200"/>
      <c r="AO30" s="201" t="e">
        <f>INDEX('WEG Motor'!$B$3:$AZ$55,
       MATCH(AM30,'WEG Motor'!$A$3:$A$55,0),
       MATCH(AN30,'WEG Motor'!$B$2:$AZ$2,0))%</f>
        <v>#N/A</v>
      </c>
      <c r="AP30" s="201">
        <v>0.92</v>
      </c>
      <c r="AQ30" s="201"/>
      <c r="AR30" s="202"/>
      <c r="AS30" s="142" t="e">
        <f>ROUND(((($BT$6*$BW$5*(C24*0.001)*D30)/1000)/AQ30), 2)</f>
        <v>#DIV/0!</v>
      </c>
      <c r="AT30" s="200" t="e">
        <f t="shared" si="40"/>
        <v>#DIV/0!</v>
      </c>
      <c r="AU30" s="244" t="e">
        <f t="shared" si="17"/>
        <v>#DIV/0!</v>
      </c>
      <c r="AV30" s="226"/>
      <c r="AW30" s="231"/>
      <c r="AX30" s="203"/>
      <c r="AY30" s="203"/>
      <c r="AZ30" s="204" t="e">
        <f>INDEX('WEG Motor'!$B$3:$AZ$55,
       MATCH(AX30,'WEG Motor'!$A$3:$A$55,0),
       MATCH(AY30,'WEG Motor'!$B$2:$AZ$2,0))%</f>
        <v>#N/A</v>
      </c>
      <c r="BA30" s="204">
        <v>0.92</v>
      </c>
      <c r="BB30" s="204"/>
      <c r="BC30" s="205"/>
      <c r="BD30" s="143" t="e">
        <f>ROUND(((($BT$6*$BW$5*(C24*0.001)*D30)/1000)/BB30), 2)</f>
        <v>#DIV/0!</v>
      </c>
      <c r="BE30" s="203" t="e">
        <f t="shared" si="41"/>
        <v>#DIV/0!</v>
      </c>
      <c r="BF30" s="243" t="e">
        <f t="shared" si="18"/>
        <v>#DIV/0!</v>
      </c>
      <c r="BG30" s="232"/>
      <c r="BH30" s="235"/>
      <c r="BI30" s="66"/>
      <c r="BJ30" s="66"/>
      <c r="BK30" s="206" t="e">
        <f>INDEX('WEG Motor'!$B$3:$AZ$55,
       MATCH(BI30,'WEG Motor'!$A$3:$A$55,0),
       MATCH(BJ30,'WEG Motor'!$B$2:$AZ$2,0))%</f>
        <v>#N/A</v>
      </c>
      <c r="BL30" s="206">
        <v>0.92</v>
      </c>
      <c r="BM30" s="206"/>
      <c r="BN30" s="207"/>
      <c r="BO30" s="144" t="e">
        <f>ROUND(((($BT$6*$BW$5*(C24*0.001)*D30)/1000)/BM30), 2)</f>
        <v>#DIV/0!</v>
      </c>
      <c r="BP30" s="292" t="e">
        <f t="shared" si="42"/>
        <v>#DIV/0!</v>
      </c>
      <c r="BQ30" s="293" t="e">
        <f t="shared" si="43"/>
        <v>#DIV/0!</v>
      </c>
      <c r="BR30" s="208"/>
    </row>
    <row r="31" spans="1:70" x14ac:dyDescent="0.3">
      <c r="A31" s="308">
        <v>4</v>
      </c>
      <c r="B31" s="308">
        <v>450</v>
      </c>
      <c r="C31" s="311">
        <f>ROUND((B31 * $BW$7 * 1000) / ($BT$6 * $BW$3 * $BW$4), 0)</f>
        <v>54</v>
      </c>
      <c r="D31" s="145">
        <v>15</v>
      </c>
      <c r="E31" s="173"/>
      <c r="F31" s="53"/>
      <c r="G31" s="53"/>
      <c r="H31" s="174" t="e">
        <f>INDEX('WEG Motor'!$B$3:$AZ$55,
       MATCH(F31,'WEG Motor'!$A$3:$A$55,0),
       MATCH(G31,'WEG Motor'!$B$2:$AZ$2,0))%</f>
        <v>#N/A</v>
      </c>
      <c r="I31" s="174">
        <v>0.92</v>
      </c>
      <c r="J31" s="282"/>
      <c r="K31" s="175"/>
      <c r="L31" s="285" t="e">
        <f t="shared" ref="L31" si="45">ROUND(((($BT$6*$BW$5*(C31*0.001)*D31)/1000)/J31), 2)</f>
        <v>#DIV/0!</v>
      </c>
      <c r="M31" s="53" t="e">
        <f>ROUND((L31/H31),2)</f>
        <v>#DIV/0!</v>
      </c>
      <c r="N31" s="236" t="e">
        <f t="shared" si="14"/>
        <v>#DIV/0!</v>
      </c>
      <c r="O31" s="176"/>
      <c r="P31" s="209" t="s">
        <v>132</v>
      </c>
      <c r="Q31" s="177">
        <v>11</v>
      </c>
      <c r="R31" s="177" t="s">
        <v>35</v>
      </c>
      <c r="S31" s="178">
        <f>INDEX('WEG Motor'!$B$3:$AZ$55,
       MATCH(Q31,'WEG Motor'!$A$3:$A$55,0),
       MATCH(R31,'WEG Motor'!$B$2:$AZ$2,0))%</f>
        <v>0.91400000000000003</v>
      </c>
      <c r="T31" s="178">
        <v>0.92</v>
      </c>
      <c r="U31" s="178">
        <v>0.84109999999999996</v>
      </c>
      <c r="V31" s="179">
        <v>2.5670000000000002</v>
      </c>
      <c r="W31" s="297">
        <f>ROUND(((($BT$6*$BW$5*(C31*0.001)*D31)/1000)/U31), 2)</f>
        <v>9.4499999999999993</v>
      </c>
      <c r="X31" s="177">
        <f>ROUND((W31/S31),2)</f>
        <v>10.34</v>
      </c>
      <c r="Y31" s="276">
        <f t="shared" si="15"/>
        <v>11.24</v>
      </c>
      <c r="Z31" s="210"/>
      <c r="AA31" s="215"/>
      <c r="AB31" s="180"/>
      <c r="AC31" s="180"/>
      <c r="AD31" s="181" t="e">
        <f>INDEX('WEG Motor'!$B$3:$AZ$55,
       MATCH(AB31,'WEG Motor'!$A$3:$A$55,0),
       MATCH(AC31,'WEG Motor'!$B$2:$AZ$2,0))%</f>
        <v>#N/A</v>
      </c>
      <c r="AE31" s="181">
        <v>0.92</v>
      </c>
      <c r="AF31" s="181"/>
      <c r="AG31" s="182"/>
      <c r="AH31" s="296" t="e">
        <f>ROUND(((($BT$6*$BW$5*(C31*0.001)*D31)/1000)/AF31), 2)</f>
        <v>#DIV/0!</v>
      </c>
      <c r="AI31" s="180" t="e">
        <f>ROUND((AH31/AD31),2)</f>
        <v>#DIV/0!</v>
      </c>
      <c r="AJ31" s="277" t="e">
        <f t="shared" si="16"/>
        <v>#DIV/0!</v>
      </c>
      <c r="AK31" s="216"/>
      <c r="AL31" s="221"/>
      <c r="AM31" s="183"/>
      <c r="AN31" s="183"/>
      <c r="AO31" s="184" t="e">
        <f>INDEX('WEG Motor'!$B$3:$AZ$55,
       MATCH(AM31,'WEG Motor'!$A$3:$A$55,0),
       MATCH(AN31,'WEG Motor'!$B$2:$AZ$2,0))%</f>
        <v>#N/A</v>
      </c>
      <c r="AP31" s="184">
        <v>0.92</v>
      </c>
      <c r="AQ31" s="184"/>
      <c r="AR31" s="185"/>
      <c r="AS31" s="295" t="e">
        <f>ROUND(((($BT$6*$BW$5*(C31*0.001)*D31)/1000)/AQ31), 2)</f>
        <v>#DIV/0!</v>
      </c>
      <c r="AT31" s="183" t="e">
        <f>ROUND((AS31/AO31),2)</f>
        <v>#DIV/0!</v>
      </c>
      <c r="AU31" s="278" t="e">
        <f t="shared" si="17"/>
        <v>#DIV/0!</v>
      </c>
      <c r="AV31" s="222"/>
      <c r="AW31" s="227"/>
      <c r="AX31" s="186"/>
      <c r="AY31" s="186"/>
      <c r="AZ31" s="187" t="e">
        <f>INDEX('WEG Motor'!$B$3:$AZ$55,
       MATCH(AX31,'WEG Motor'!$A$3:$A$55,0),
       MATCH(AY31,'WEG Motor'!$B$2:$AZ$2,0))%</f>
        <v>#N/A</v>
      </c>
      <c r="BA31" s="187">
        <v>0.92</v>
      </c>
      <c r="BB31" s="187"/>
      <c r="BC31" s="188"/>
      <c r="BD31" s="294" t="e">
        <f>ROUND(((($BT$6*$BW$5*(C31*0.001)*D31)/1000)/BB31), 2)</f>
        <v>#DIV/0!</v>
      </c>
      <c r="BE31" s="186" t="e">
        <f>ROUND((BD31/AZ31),2)</f>
        <v>#DIV/0!</v>
      </c>
      <c r="BF31" s="279" t="e">
        <f t="shared" si="18"/>
        <v>#DIV/0!</v>
      </c>
      <c r="BG31" s="228"/>
      <c r="BH31" s="233"/>
      <c r="BI31" s="189"/>
      <c r="BJ31" s="189"/>
      <c r="BK31" s="190" t="e">
        <f>INDEX('WEG Motor'!$B$3:$AZ$55,
       MATCH(BI31,'WEG Motor'!$A$3:$A$55,0),
       MATCH(BJ31,'WEG Motor'!$B$2:$AZ$2,0))%</f>
        <v>#N/A</v>
      </c>
      <c r="BL31" s="190">
        <v>0.92</v>
      </c>
      <c r="BM31" s="190"/>
      <c r="BN31" s="191"/>
      <c r="BO31" s="289" t="e">
        <f>ROUND(((($BT$6*$BW$5*(C31*0.001)*D31)/1000)/BM31), 2)</f>
        <v>#DIV/0!</v>
      </c>
      <c r="BP31" s="290" t="e">
        <f>ROUND((BO31/BK31),2)</f>
        <v>#DIV/0!</v>
      </c>
      <c r="BQ31" s="291" t="e">
        <f>ROUND((BP31/BL31), 2)</f>
        <v>#DIV/0!</v>
      </c>
      <c r="BR31" s="192"/>
    </row>
    <row r="32" spans="1:70" x14ac:dyDescent="0.3">
      <c r="A32" s="309"/>
      <c r="B32" s="309"/>
      <c r="C32" s="312"/>
      <c r="D32" s="164">
        <v>20</v>
      </c>
      <c r="E32" s="166"/>
      <c r="F32" s="146"/>
      <c r="G32" s="146"/>
      <c r="H32" s="147" t="e">
        <f>INDEX('WEG Motor'!$B$3:$AZ$55,
       MATCH(F32,'WEG Motor'!$A$3:$A$55,0),
       MATCH(G32,'WEG Motor'!$B$2:$AZ$2,0))%</f>
        <v>#N/A</v>
      </c>
      <c r="I32" s="147">
        <v>0.92</v>
      </c>
      <c r="J32" s="283"/>
      <c r="K32" s="148"/>
      <c r="L32" s="286" t="e">
        <f>ROUND(((($BT$6*$BW$5*(C31*0.001)*D32)/1000)/J32), 2)</f>
        <v>#DIV/0!</v>
      </c>
      <c r="M32" s="146" t="e">
        <f t="shared" ref="M32:M37" si="46">ROUND((L32/H32),2)</f>
        <v>#DIV/0!</v>
      </c>
      <c r="N32" s="237" t="e">
        <f t="shared" si="14"/>
        <v>#DIV/0!</v>
      </c>
      <c r="O32" s="167"/>
      <c r="P32" s="211" t="s">
        <v>79</v>
      </c>
      <c r="Q32" s="23">
        <v>15</v>
      </c>
      <c r="R32" s="23" t="s">
        <v>35</v>
      </c>
      <c r="S32" s="149">
        <f>INDEX('WEG Motor'!$B$3:$AZ$55,
       MATCH(Q32,'WEG Motor'!$A$3:$A$55,0),
       MATCH(R32,'WEG Motor'!$B$2:$AZ$2,0))%</f>
        <v>0.92099999999999993</v>
      </c>
      <c r="T32" s="149">
        <v>0.92</v>
      </c>
      <c r="U32" s="149">
        <v>0.82989999999999997</v>
      </c>
      <c r="V32" s="150">
        <v>2.5680000000000001</v>
      </c>
      <c r="W32" s="151">
        <f>ROUND(((($BT$6*$BW$5*(C31*0.001)*D32)/1000)/U32), 2)</f>
        <v>12.76</v>
      </c>
      <c r="X32" s="23">
        <f t="shared" ref="X32:X37" si="47">ROUND((W32/S32),2)</f>
        <v>13.85</v>
      </c>
      <c r="Y32" s="238">
        <f t="shared" si="15"/>
        <v>15.05</v>
      </c>
      <c r="Z32" s="212"/>
      <c r="AA32" s="217"/>
      <c r="AB32" s="24"/>
      <c r="AC32" s="24"/>
      <c r="AD32" s="152" t="e">
        <f>INDEX('WEG Motor'!$B$3:$AZ$55,
       MATCH(AB32,'WEG Motor'!$A$3:$A$55,0),
       MATCH(AC32,'WEG Motor'!$B$2:$AZ$2,0))%</f>
        <v>#N/A</v>
      </c>
      <c r="AE32" s="152">
        <v>0.92</v>
      </c>
      <c r="AF32" s="152"/>
      <c r="AG32" s="153"/>
      <c r="AH32" s="154" t="e">
        <f>ROUND(((($BT$6*$BW$5*(C31*0.001)*D32)/1000)/AF32), 2)</f>
        <v>#DIV/0!</v>
      </c>
      <c r="AI32" s="24" t="e">
        <f t="shared" ref="AI32:AI37" si="48">ROUND((AH32/AD32),2)</f>
        <v>#DIV/0!</v>
      </c>
      <c r="AJ32" s="239" t="e">
        <f t="shared" si="16"/>
        <v>#DIV/0!</v>
      </c>
      <c r="AK32" s="218"/>
      <c r="AL32" s="223"/>
      <c r="AM32" s="25"/>
      <c r="AN32" s="25"/>
      <c r="AO32" s="155" t="e">
        <f>INDEX('WEG Motor'!$B$3:$AZ$55,
       MATCH(AM32,'WEG Motor'!$A$3:$A$55,0),
       MATCH(AN32,'WEG Motor'!$B$2:$AZ$2,0))%</f>
        <v>#N/A</v>
      </c>
      <c r="AP32" s="155">
        <v>0.92</v>
      </c>
      <c r="AQ32" s="155"/>
      <c r="AR32" s="156"/>
      <c r="AS32" s="157" t="e">
        <f>ROUND(((($BT$6*$BW$5*(C31*0.001)*D32)/1000)/AQ32), 2)</f>
        <v>#DIV/0!</v>
      </c>
      <c r="AT32" s="25" t="e">
        <f t="shared" ref="AT32:AT37" si="49">ROUND((AS32/AO32),2)</f>
        <v>#DIV/0!</v>
      </c>
      <c r="AU32" s="240" t="e">
        <f t="shared" si="17"/>
        <v>#DIV/0!</v>
      </c>
      <c r="AV32" s="224"/>
      <c r="AW32" s="229"/>
      <c r="AX32" s="12"/>
      <c r="AY32" s="12"/>
      <c r="AZ32" s="158" t="e">
        <f>INDEX('WEG Motor'!$B$3:$AZ$55,
       MATCH(AX32,'WEG Motor'!$A$3:$A$55,0),
       MATCH(AY32,'WEG Motor'!$B$2:$AZ$2,0))%</f>
        <v>#N/A</v>
      </c>
      <c r="BA32" s="158">
        <v>0.92</v>
      </c>
      <c r="BB32" s="158"/>
      <c r="BC32" s="159"/>
      <c r="BD32" s="160" t="e">
        <f>ROUND(((($BT$6*$BW$5*(C31*0.001)*D32)/1000)/BB32), 2)</f>
        <v>#DIV/0!</v>
      </c>
      <c r="BE32" s="12" t="e">
        <f t="shared" ref="BE32:BE37" si="50">ROUND((BD32/AZ32),2)</f>
        <v>#DIV/0!</v>
      </c>
      <c r="BF32" s="241" t="e">
        <f t="shared" si="18"/>
        <v>#DIV/0!</v>
      </c>
      <c r="BG32" s="230"/>
      <c r="BH32" s="234"/>
      <c r="BI32" s="22"/>
      <c r="BJ32" s="22"/>
      <c r="BK32" s="161" t="e">
        <f>INDEX('WEG Motor'!$B$3:$AZ$55,
       MATCH(BI32,'WEG Motor'!$A$3:$A$55,0),
       MATCH(BJ32,'WEG Motor'!$B$2:$AZ$2,0))%</f>
        <v>#N/A</v>
      </c>
      <c r="BL32" s="161">
        <v>0.92</v>
      </c>
      <c r="BM32" s="161"/>
      <c r="BN32" s="162"/>
      <c r="BO32" s="163" t="e">
        <f>ROUND(((($BT$6*$BW$5*(C31*0.001)*D32)/1000)/BM32), 2)</f>
        <v>#DIV/0!</v>
      </c>
      <c r="BP32" s="22" t="e">
        <f t="shared" ref="BP32:BP37" si="51">ROUND((BO32/BK32),2)</f>
        <v>#DIV/0!</v>
      </c>
      <c r="BQ32" s="242" t="e">
        <f t="shared" ref="BQ32:BQ37" si="52">ROUND((BP32/BL32), 2)</f>
        <v>#DIV/0!</v>
      </c>
      <c r="BR32" s="193"/>
    </row>
    <row r="33" spans="1:70" x14ac:dyDescent="0.3">
      <c r="A33" s="309"/>
      <c r="B33" s="309"/>
      <c r="C33" s="312"/>
      <c r="D33" s="164">
        <v>25</v>
      </c>
      <c r="E33" s="166"/>
      <c r="F33" s="146"/>
      <c r="G33" s="146"/>
      <c r="H33" s="147" t="e">
        <f>INDEX('WEG Motor'!$B$3:$AZ$55,
       MATCH(F33,'WEG Motor'!$A$3:$A$55,0),
       MATCH(G33,'WEG Motor'!$B$2:$AZ$2,0))%</f>
        <v>#N/A</v>
      </c>
      <c r="I33" s="147">
        <v>0.92</v>
      </c>
      <c r="J33" s="283"/>
      <c r="K33" s="148"/>
      <c r="L33" s="286" t="e">
        <f>ROUND(((($BT$6*$BW$5*(C31*0.001)*D33)/1000)/J33), 2)</f>
        <v>#DIV/0!</v>
      </c>
      <c r="M33" s="146" t="e">
        <f t="shared" si="46"/>
        <v>#DIV/0!</v>
      </c>
      <c r="N33" s="237" t="e">
        <f t="shared" si="14"/>
        <v>#DIV/0!</v>
      </c>
      <c r="O33" s="167"/>
      <c r="P33" s="211" t="s">
        <v>50</v>
      </c>
      <c r="Q33" s="23">
        <v>18.5</v>
      </c>
      <c r="R33" s="23" t="s">
        <v>35</v>
      </c>
      <c r="S33" s="149">
        <f>INDEX('WEG Motor'!$B$3:$AZ$55,
       MATCH(Q33,'WEG Motor'!$A$3:$A$55,0),
       MATCH(R33,'WEG Motor'!$B$2:$AZ$2,0))%</f>
        <v>0.92599999999999993</v>
      </c>
      <c r="T33" s="149">
        <v>0.92</v>
      </c>
      <c r="U33" s="149">
        <v>0.83809999999999996</v>
      </c>
      <c r="V33" s="150">
        <v>2.5670000000000002</v>
      </c>
      <c r="W33" s="151">
        <f>ROUND(((($BT$6*$BW$5*(C31*0.001)*D33)/1000)/U33), 2)</f>
        <v>15.8</v>
      </c>
      <c r="X33" s="23">
        <f t="shared" si="47"/>
        <v>17.059999999999999</v>
      </c>
      <c r="Y33" s="238">
        <f t="shared" si="15"/>
        <v>18.54</v>
      </c>
      <c r="Z33" s="212"/>
      <c r="AA33" s="217"/>
      <c r="AB33" s="24"/>
      <c r="AC33" s="24"/>
      <c r="AD33" s="152" t="e">
        <f>INDEX('WEG Motor'!$B$3:$AZ$55,
       MATCH(AB33,'WEG Motor'!$A$3:$A$55,0),
       MATCH(AC33,'WEG Motor'!$B$2:$AZ$2,0))%</f>
        <v>#N/A</v>
      </c>
      <c r="AE33" s="152">
        <v>0.92</v>
      </c>
      <c r="AF33" s="152"/>
      <c r="AG33" s="153"/>
      <c r="AH33" s="154" t="e">
        <f>ROUND(((($BT$6*$BW$5*(C31*0.001)*D33)/1000)/AF33), 2)</f>
        <v>#DIV/0!</v>
      </c>
      <c r="AI33" s="24" t="e">
        <f t="shared" si="48"/>
        <v>#DIV/0!</v>
      </c>
      <c r="AJ33" s="239" t="e">
        <f t="shared" si="16"/>
        <v>#DIV/0!</v>
      </c>
      <c r="AK33" s="218"/>
      <c r="AL33" s="223"/>
      <c r="AM33" s="25"/>
      <c r="AN33" s="25"/>
      <c r="AO33" s="155" t="e">
        <f>INDEX('WEG Motor'!$B$3:$AZ$55,
       MATCH(AM33,'WEG Motor'!$A$3:$A$55,0),
       MATCH(AN33,'WEG Motor'!$B$2:$AZ$2,0))%</f>
        <v>#N/A</v>
      </c>
      <c r="AP33" s="155">
        <v>0.92</v>
      </c>
      <c r="AQ33" s="155"/>
      <c r="AR33" s="156"/>
      <c r="AS33" s="157" t="e">
        <f>ROUND(((($BT$6*$BW$5*(C31*0.001)*D33)/1000)/AQ33), 2)</f>
        <v>#DIV/0!</v>
      </c>
      <c r="AT33" s="25" t="e">
        <f t="shared" si="49"/>
        <v>#DIV/0!</v>
      </c>
      <c r="AU33" s="240" t="e">
        <f t="shared" si="17"/>
        <v>#DIV/0!</v>
      </c>
      <c r="AV33" s="224"/>
      <c r="AW33" s="229"/>
      <c r="AX33" s="12"/>
      <c r="AY33" s="12"/>
      <c r="AZ33" s="158" t="e">
        <f>INDEX('WEG Motor'!$B$3:$AZ$55,
       MATCH(AX33,'WEG Motor'!$A$3:$A$55,0),
       MATCH(AY33,'WEG Motor'!$B$2:$AZ$2,0))%</f>
        <v>#N/A</v>
      </c>
      <c r="BA33" s="158">
        <v>0.92</v>
      </c>
      <c r="BB33" s="158"/>
      <c r="BC33" s="159"/>
      <c r="BD33" s="160" t="e">
        <f>ROUND(((($BT$6*$BW$5*(C31*0.001)*D33)/1000)/BB33), 2)</f>
        <v>#DIV/0!</v>
      </c>
      <c r="BE33" s="12" t="e">
        <f t="shared" si="50"/>
        <v>#DIV/0!</v>
      </c>
      <c r="BF33" s="241" t="e">
        <f t="shared" si="18"/>
        <v>#DIV/0!</v>
      </c>
      <c r="BG33" s="230"/>
      <c r="BH33" s="234"/>
      <c r="BI33" s="22"/>
      <c r="BJ33" s="22"/>
      <c r="BK33" s="161" t="e">
        <f>INDEX('WEG Motor'!$B$3:$AZ$55,
       MATCH(BI33,'WEG Motor'!$A$3:$A$55,0),
       MATCH(BJ33,'WEG Motor'!$B$2:$AZ$2,0))%</f>
        <v>#N/A</v>
      </c>
      <c r="BL33" s="161">
        <v>0.92</v>
      </c>
      <c r="BM33" s="161"/>
      <c r="BN33" s="162"/>
      <c r="BO33" s="163" t="e">
        <f>ROUND(((($BT$6*$BW$5*(C31*0.001)*D33)/1000)/BM33), 2)</f>
        <v>#DIV/0!</v>
      </c>
      <c r="BP33" s="22" t="e">
        <f t="shared" si="51"/>
        <v>#DIV/0!</v>
      </c>
      <c r="BQ33" s="242" t="e">
        <f t="shared" si="52"/>
        <v>#DIV/0!</v>
      </c>
      <c r="BR33" s="193"/>
    </row>
    <row r="34" spans="1:70" x14ac:dyDescent="0.3">
      <c r="A34" s="309"/>
      <c r="B34" s="309"/>
      <c r="C34" s="312"/>
      <c r="D34" s="164">
        <v>30</v>
      </c>
      <c r="E34" s="166"/>
      <c r="F34" s="146"/>
      <c r="G34" s="146"/>
      <c r="H34" s="147" t="e">
        <f>INDEX('WEG Motor'!$B$3:$AZ$55,
       MATCH(F34,'WEG Motor'!$A$3:$A$55,0),
       MATCH(G34,'WEG Motor'!$B$2:$AZ$2,0))%</f>
        <v>#N/A</v>
      </c>
      <c r="I34" s="147">
        <v>0.92</v>
      </c>
      <c r="J34" s="283"/>
      <c r="K34" s="148"/>
      <c r="L34" s="286" t="e">
        <f>ROUND(((($BT$6*$BW$5*(C31*0.001)*D34)/1000)/J34), 2)</f>
        <v>#DIV/0!</v>
      </c>
      <c r="M34" s="146" t="e">
        <f t="shared" si="46"/>
        <v>#DIV/0!</v>
      </c>
      <c r="N34" s="237" t="e">
        <f t="shared" si="14"/>
        <v>#DIV/0!</v>
      </c>
      <c r="O34" s="167"/>
      <c r="P34" s="211" t="s">
        <v>133</v>
      </c>
      <c r="Q34" s="23">
        <v>22</v>
      </c>
      <c r="R34" s="23" t="s">
        <v>35</v>
      </c>
      <c r="S34" s="149">
        <f>INDEX('WEG Motor'!$B$3:$AZ$55,
       MATCH(Q34,'WEG Motor'!$A$3:$A$55,0),
       MATCH(R34,'WEG Motor'!$B$2:$AZ$2,0))%</f>
        <v>0.93099999999999994</v>
      </c>
      <c r="T34" s="149">
        <v>0.92</v>
      </c>
      <c r="U34" s="149">
        <v>0.83650000000000002</v>
      </c>
      <c r="V34" s="150">
        <v>3.29</v>
      </c>
      <c r="W34" s="151">
        <f>ROUND(((($BT$6*$BW$5*(C31*0.001)*D34)/1000)/U34), 2)</f>
        <v>18.989999999999998</v>
      </c>
      <c r="X34" s="23">
        <f t="shared" si="47"/>
        <v>20.399999999999999</v>
      </c>
      <c r="Y34" s="238">
        <f t="shared" si="15"/>
        <v>22.17</v>
      </c>
      <c r="Z34" s="212"/>
      <c r="AA34" s="217"/>
      <c r="AB34" s="24"/>
      <c r="AC34" s="24"/>
      <c r="AD34" s="152" t="e">
        <f>INDEX('WEG Motor'!$B$3:$AZ$55,
       MATCH(AB34,'WEG Motor'!$A$3:$A$55,0),
       MATCH(AC34,'WEG Motor'!$B$2:$AZ$2,0))%</f>
        <v>#N/A</v>
      </c>
      <c r="AE34" s="152">
        <v>0.92</v>
      </c>
      <c r="AF34" s="152"/>
      <c r="AG34" s="153"/>
      <c r="AH34" s="154" t="e">
        <f>ROUND(((($BT$6*$BW$5*(C31*0.001)*D34)/1000)/AF34), 2)</f>
        <v>#DIV/0!</v>
      </c>
      <c r="AI34" s="24" t="e">
        <f t="shared" si="48"/>
        <v>#DIV/0!</v>
      </c>
      <c r="AJ34" s="239" t="e">
        <f t="shared" si="16"/>
        <v>#DIV/0!</v>
      </c>
      <c r="AK34" s="218"/>
      <c r="AL34" s="223"/>
      <c r="AM34" s="25"/>
      <c r="AN34" s="25"/>
      <c r="AO34" s="155" t="e">
        <f>INDEX('WEG Motor'!$B$3:$AZ$55,
       MATCH(AM34,'WEG Motor'!$A$3:$A$55,0),
       MATCH(AN34,'WEG Motor'!$B$2:$AZ$2,0))%</f>
        <v>#N/A</v>
      </c>
      <c r="AP34" s="155">
        <v>0.92</v>
      </c>
      <c r="AQ34" s="155"/>
      <c r="AR34" s="156"/>
      <c r="AS34" s="157" t="e">
        <f>ROUND(((($BT$6*$BW$5*(C31*0.001)*D34)/1000)/AQ34), 2)</f>
        <v>#DIV/0!</v>
      </c>
      <c r="AT34" s="25" t="e">
        <f t="shared" si="49"/>
        <v>#DIV/0!</v>
      </c>
      <c r="AU34" s="240" t="e">
        <f t="shared" si="17"/>
        <v>#DIV/0!</v>
      </c>
      <c r="AV34" s="224"/>
      <c r="AW34" s="229"/>
      <c r="AX34" s="12"/>
      <c r="AY34" s="12"/>
      <c r="AZ34" s="158" t="e">
        <f>INDEX('WEG Motor'!$B$3:$AZ$55,
       MATCH(AX34,'WEG Motor'!$A$3:$A$55,0),
       MATCH(AY34,'WEG Motor'!$B$2:$AZ$2,0))%</f>
        <v>#N/A</v>
      </c>
      <c r="BA34" s="158">
        <v>0.92</v>
      </c>
      <c r="BB34" s="158"/>
      <c r="BC34" s="159"/>
      <c r="BD34" s="160" t="e">
        <f>ROUND(((($BT$6*$BW$5*(C31*0.001)*D34)/1000)/BB34), 2)</f>
        <v>#DIV/0!</v>
      </c>
      <c r="BE34" s="12" t="e">
        <f t="shared" si="50"/>
        <v>#DIV/0!</v>
      </c>
      <c r="BF34" s="241" t="e">
        <f t="shared" si="18"/>
        <v>#DIV/0!</v>
      </c>
      <c r="BG34" s="230"/>
      <c r="BH34" s="234"/>
      <c r="BI34" s="22"/>
      <c r="BJ34" s="22"/>
      <c r="BK34" s="161" t="e">
        <f>INDEX('WEG Motor'!$B$3:$AZ$55,
       MATCH(BI34,'WEG Motor'!$A$3:$A$55,0),
       MATCH(BJ34,'WEG Motor'!$B$2:$AZ$2,0))%</f>
        <v>#N/A</v>
      </c>
      <c r="BL34" s="161">
        <v>0.92</v>
      </c>
      <c r="BM34" s="161"/>
      <c r="BN34" s="162"/>
      <c r="BO34" s="163" t="e">
        <f>ROUND(((($BT$6*$BW$5*(C31*0.001)*D34)/1000)/BM34), 2)</f>
        <v>#DIV/0!</v>
      </c>
      <c r="BP34" s="22" t="e">
        <f t="shared" si="51"/>
        <v>#DIV/0!</v>
      </c>
      <c r="BQ34" s="242" t="e">
        <f t="shared" si="52"/>
        <v>#DIV/0!</v>
      </c>
      <c r="BR34" s="193"/>
    </row>
    <row r="35" spans="1:70" x14ac:dyDescent="0.3">
      <c r="A35" s="309"/>
      <c r="B35" s="309"/>
      <c r="C35" s="312"/>
      <c r="D35" s="164">
        <v>35</v>
      </c>
      <c r="E35" s="166"/>
      <c r="F35" s="146"/>
      <c r="G35" s="146"/>
      <c r="H35" s="147" t="e">
        <f>INDEX('WEG Motor'!$B$3:$AZ$55,
       MATCH(F35,'WEG Motor'!$A$3:$A$55,0),
       MATCH(G35,'WEG Motor'!$B$2:$AZ$2,0))%</f>
        <v>#N/A</v>
      </c>
      <c r="I35" s="147">
        <v>0.92</v>
      </c>
      <c r="J35" s="283"/>
      <c r="K35" s="148"/>
      <c r="L35" s="286" t="e">
        <f t="shared" ref="L35" si="53">ROUND(((($BT$6*$BW$5*(C35*0.001)*D35)/1000)/J35), 2)</f>
        <v>#DIV/0!</v>
      </c>
      <c r="M35" s="146" t="e">
        <f t="shared" si="46"/>
        <v>#DIV/0!</v>
      </c>
      <c r="N35" s="237" t="e">
        <f t="shared" si="14"/>
        <v>#DIV/0!</v>
      </c>
      <c r="O35" s="167"/>
      <c r="P35" s="211" t="s">
        <v>134</v>
      </c>
      <c r="Q35" s="23">
        <v>30</v>
      </c>
      <c r="R35" s="23" t="s">
        <v>35</v>
      </c>
      <c r="S35" s="149">
        <f>INDEX('WEG Motor'!$B$3:$AZ$55,
       MATCH(Q35,'WEG Motor'!$A$3:$A$55,0),
       MATCH(R35,'WEG Motor'!$B$2:$AZ$2,0))%</f>
        <v>0.93599999999999994</v>
      </c>
      <c r="T35" s="149">
        <v>0.92</v>
      </c>
      <c r="U35" s="149">
        <v>0.83069999999999999</v>
      </c>
      <c r="V35" s="150">
        <v>3.3239999999999998</v>
      </c>
      <c r="W35" s="151">
        <f>ROUND(((($BT$6*$BW$5*(C31*0.001)*D35)/1000)/U35), 2)</f>
        <v>22.31</v>
      </c>
      <c r="X35" s="23">
        <f t="shared" si="47"/>
        <v>23.84</v>
      </c>
      <c r="Y35" s="238">
        <f t="shared" si="15"/>
        <v>25.91</v>
      </c>
      <c r="Z35" s="212"/>
      <c r="AA35" s="217"/>
      <c r="AB35" s="24"/>
      <c r="AC35" s="24"/>
      <c r="AD35" s="152" t="e">
        <f>INDEX('WEG Motor'!$B$3:$AZ$55,
       MATCH(AB35,'WEG Motor'!$A$3:$A$55,0),
       MATCH(AC35,'WEG Motor'!$B$2:$AZ$2,0))%</f>
        <v>#N/A</v>
      </c>
      <c r="AE35" s="152">
        <v>0.92</v>
      </c>
      <c r="AF35" s="152"/>
      <c r="AG35" s="153"/>
      <c r="AH35" s="154" t="e">
        <f>ROUND(((($BT$6*$BW$5*(C31*0.001)*D35)/1000)/AF35), 2)</f>
        <v>#DIV/0!</v>
      </c>
      <c r="AI35" s="24" t="e">
        <f t="shared" si="48"/>
        <v>#DIV/0!</v>
      </c>
      <c r="AJ35" s="239" t="e">
        <f t="shared" si="16"/>
        <v>#DIV/0!</v>
      </c>
      <c r="AK35" s="218"/>
      <c r="AL35" s="223"/>
      <c r="AM35" s="25"/>
      <c r="AN35" s="25"/>
      <c r="AO35" s="155" t="e">
        <f>INDEX('WEG Motor'!$B$3:$AZ$55,
       MATCH(AM35,'WEG Motor'!$A$3:$A$55,0),
       MATCH(AN35,'WEG Motor'!$B$2:$AZ$2,0))%</f>
        <v>#N/A</v>
      </c>
      <c r="AP35" s="155">
        <v>0.92</v>
      </c>
      <c r="AQ35" s="155"/>
      <c r="AR35" s="156"/>
      <c r="AS35" s="157" t="e">
        <f>ROUND(((($BT$6*$BW$5*(C31*0.001)*D35)/1000)/AQ35), 2)</f>
        <v>#DIV/0!</v>
      </c>
      <c r="AT35" s="25" t="e">
        <f t="shared" si="49"/>
        <v>#DIV/0!</v>
      </c>
      <c r="AU35" s="240" t="e">
        <f t="shared" si="17"/>
        <v>#DIV/0!</v>
      </c>
      <c r="AV35" s="224"/>
      <c r="AW35" s="229"/>
      <c r="AX35" s="12"/>
      <c r="AY35" s="12"/>
      <c r="AZ35" s="158" t="e">
        <f>INDEX('WEG Motor'!$B$3:$AZ$55,
       MATCH(AX35,'WEG Motor'!$A$3:$A$55,0),
       MATCH(AY35,'WEG Motor'!$B$2:$AZ$2,0))%</f>
        <v>#N/A</v>
      </c>
      <c r="BA35" s="158">
        <v>0.92</v>
      </c>
      <c r="BB35" s="158"/>
      <c r="BC35" s="159"/>
      <c r="BD35" s="160" t="e">
        <f>ROUND(((($BT$6*$BW$5*(C31*0.001)*D35)/1000)/BB35), 2)</f>
        <v>#DIV/0!</v>
      </c>
      <c r="BE35" s="12" t="e">
        <f t="shared" si="50"/>
        <v>#DIV/0!</v>
      </c>
      <c r="BF35" s="241" t="e">
        <f t="shared" si="18"/>
        <v>#DIV/0!</v>
      </c>
      <c r="BG35" s="230"/>
      <c r="BH35" s="234"/>
      <c r="BI35" s="22"/>
      <c r="BJ35" s="22"/>
      <c r="BK35" s="161" t="e">
        <f>INDEX('WEG Motor'!$B$3:$AZ$55,
       MATCH(BI35,'WEG Motor'!$A$3:$A$55,0),
       MATCH(BJ35,'WEG Motor'!$B$2:$AZ$2,0))%</f>
        <v>#N/A</v>
      </c>
      <c r="BL35" s="161">
        <v>0.92</v>
      </c>
      <c r="BM35" s="161"/>
      <c r="BN35" s="162"/>
      <c r="BO35" s="163" t="e">
        <f>ROUND(((($BT$6*$BW$5*(C31*0.001)*D35)/1000)/BM35), 2)</f>
        <v>#DIV/0!</v>
      </c>
      <c r="BP35" s="22" t="e">
        <f t="shared" si="51"/>
        <v>#DIV/0!</v>
      </c>
      <c r="BQ35" s="242" t="e">
        <f t="shared" si="52"/>
        <v>#DIV/0!</v>
      </c>
      <c r="BR35" s="193"/>
    </row>
    <row r="36" spans="1:70" x14ac:dyDescent="0.3">
      <c r="A36" s="309"/>
      <c r="B36" s="309"/>
      <c r="C36" s="312"/>
      <c r="D36" s="164">
        <v>40</v>
      </c>
      <c r="E36" s="166"/>
      <c r="F36" s="146"/>
      <c r="G36" s="146"/>
      <c r="H36" s="147" t="e">
        <f>INDEX('WEG Motor'!$B$3:$AZ$55,
       MATCH(F36,'WEG Motor'!$A$3:$A$55,0),
       MATCH(G36,'WEG Motor'!$B$2:$AZ$2,0))%</f>
        <v>#N/A</v>
      </c>
      <c r="I36" s="147">
        <v>0.92</v>
      </c>
      <c r="J36" s="283"/>
      <c r="K36" s="148"/>
      <c r="L36" s="286" t="e">
        <f>ROUND(((($BT$6*$BW$5*(C31*0.001)*D36)/1000)/J36), 2)</f>
        <v>#DIV/0!</v>
      </c>
      <c r="M36" s="146" t="e">
        <f t="shared" si="46"/>
        <v>#DIV/0!</v>
      </c>
      <c r="N36" s="237" t="e">
        <f t="shared" si="14"/>
        <v>#DIV/0!</v>
      </c>
      <c r="O36" s="167"/>
      <c r="P36" s="211" t="s">
        <v>139</v>
      </c>
      <c r="Q36" s="23">
        <v>37</v>
      </c>
      <c r="R36" s="23" t="s">
        <v>35</v>
      </c>
      <c r="S36" s="149">
        <f>INDEX('WEG Motor'!$B$3:$AZ$55,
       MATCH(Q36,'WEG Motor'!$A$3:$A$55,0),
       MATCH(R36,'WEG Motor'!$B$2:$AZ$2,0))%</f>
        <v>0.93900000000000006</v>
      </c>
      <c r="T36" s="149">
        <v>0.92</v>
      </c>
      <c r="U36" s="149">
        <v>0.79759999999999998</v>
      </c>
      <c r="V36" s="150">
        <v>2.464</v>
      </c>
      <c r="W36" s="151">
        <f>ROUND(((($BT$6*$BW$5*(C31*0.001)*D36)/1000)/U36), 2)</f>
        <v>26.56</v>
      </c>
      <c r="X36" s="23">
        <f t="shared" si="47"/>
        <v>28.29</v>
      </c>
      <c r="Y36" s="238">
        <f t="shared" si="15"/>
        <v>30.75</v>
      </c>
      <c r="Z36" s="212"/>
      <c r="AA36" s="217"/>
      <c r="AB36" s="24"/>
      <c r="AC36" s="24"/>
      <c r="AD36" s="152" t="e">
        <f>INDEX('WEG Motor'!$B$3:$AZ$55,
       MATCH(AB36,'WEG Motor'!$A$3:$A$55,0),
       MATCH(AC36,'WEG Motor'!$B$2:$AZ$2,0))%</f>
        <v>#N/A</v>
      </c>
      <c r="AE36" s="152">
        <v>0.92</v>
      </c>
      <c r="AF36" s="152"/>
      <c r="AG36" s="153"/>
      <c r="AH36" s="154" t="e">
        <f>ROUND(((($BT$6*$BW$5*(C31*0.001)*D36)/1000)/AF36), 2)</f>
        <v>#DIV/0!</v>
      </c>
      <c r="AI36" s="24" t="e">
        <f t="shared" si="48"/>
        <v>#DIV/0!</v>
      </c>
      <c r="AJ36" s="239" t="e">
        <f t="shared" si="16"/>
        <v>#DIV/0!</v>
      </c>
      <c r="AK36" s="218"/>
      <c r="AL36" s="223"/>
      <c r="AM36" s="25"/>
      <c r="AN36" s="25"/>
      <c r="AO36" s="155" t="e">
        <f>INDEX('WEG Motor'!$B$3:$AZ$55,
       MATCH(AM36,'WEG Motor'!$A$3:$A$55,0),
       MATCH(AN36,'WEG Motor'!$B$2:$AZ$2,0))%</f>
        <v>#N/A</v>
      </c>
      <c r="AP36" s="155">
        <v>0.92</v>
      </c>
      <c r="AQ36" s="155"/>
      <c r="AR36" s="156"/>
      <c r="AS36" s="157" t="e">
        <f>ROUND(((($BT$6*$BW$5*(C31*0.001)*D36)/1000)/AQ36), 2)</f>
        <v>#DIV/0!</v>
      </c>
      <c r="AT36" s="25" t="e">
        <f t="shared" si="49"/>
        <v>#DIV/0!</v>
      </c>
      <c r="AU36" s="240" t="e">
        <f t="shared" si="17"/>
        <v>#DIV/0!</v>
      </c>
      <c r="AV36" s="224"/>
      <c r="AW36" s="229"/>
      <c r="AX36" s="12"/>
      <c r="AY36" s="12"/>
      <c r="AZ36" s="158" t="e">
        <f>INDEX('WEG Motor'!$B$3:$AZ$55,
       MATCH(AX36,'WEG Motor'!$A$3:$A$55,0),
       MATCH(AY36,'WEG Motor'!$B$2:$AZ$2,0))%</f>
        <v>#N/A</v>
      </c>
      <c r="BA36" s="158">
        <v>0.92</v>
      </c>
      <c r="BB36" s="158"/>
      <c r="BC36" s="159"/>
      <c r="BD36" s="160" t="e">
        <f>ROUND(((($BT$6*$BW$5*(C31*0.001)*D36)/1000)/BB36), 2)</f>
        <v>#DIV/0!</v>
      </c>
      <c r="BE36" s="12" t="e">
        <f t="shared" si="50"/>
        <v>#DIV/0!</v>
      </c>
      <c r="BF36" s="241" t="e">
        <f t="shared" si="18"/>
        <v>#DIV/0!</v>
      </c>
      <c r="BG36" s="230"/>
      <c r="BH36" s="234"/>
      <c r="BI36" s="22"/>
      <c r="BJ36" s="22"/>
      <c r="BK36" s="161" t="e">
        <f>INDEX('WEG Motor'!$B$3:$AZ$55,
       MATCH(BI36,'WEG Motor'!$A$3:$A$55,0),
       MATCH(BJ36,'WEG Motor'!$B$2:$AZ$2,0))%</f>
        <v>#N/A</v>
      </c>
      <c r="BL36" s="161">
        <v>0.92</v>
      </c>
      <c r="BM36" s="161"/>
      <c r="BN36" s="162"/>
      <c r="BO36" s="163" t="e">
        <f>ROUND(((($BT$6*$BW$5*(C31*0.001)*D36)/1000)/BM36), 2)</f>
        <v>#DIV/0!</v>
      </c>
      <c r="BP36" s="22" t="e">
        <f t="shared" si="51"/>
        <v>#DIV/0!</v>
      </c>
      <c r="BQ36" s="242" t="e">
        <f t="shared" si="52"/>
        <v>#DIV/0!</v>
      </c>
      <c r="BR36" s="193"/>
    </row>
    <row r="37" spans="1:70" ht="15" thickBot="1" x14ac:dyDescent="0.35">
      <c r="A37" s="310"/>
      <c r="B37" s="310"/>
      <c r="C37" s="313"/>
      <c r="D37" s="165">
        <v>45</v>
      </c>
      <c r="E37" s="168"/>
      <c r="F37" s="169"/>
      <c r="G37" s="169"/>
      <c r="H37" s="170" t="e">
        <f>INDEX('WEG Motor'!$B$3:$AZ$55,
       MATCH(F37,'WEG Motor'!$A$3:$A$55,0),
       MATCH(G37,'WEG Motor'!$B$2:$AZ$2,0))%</f>
        <v>#N/A</v>
      </c>
      <c r="I37" s="170">
        <v>0.92</v>
      </c>
      <c r="J37" s="284"/>
      <c r="K37" s="171"/>
      <c r="L37" s="287" t="e">
        <f>ROUND(((($BT$6*$BW$5*(C31*0.001)*D37)/1000)/J37), 2)</f>
        <v>#DIV/0!</v>
      </c>
      <c r="M37" s="169" t="e">
        <f t="shared" si="46"/>
        <v>#DIV/0!</v>
      </c>
      <c r="N37" s="247" t="e">
        <f t="shared" si="14"/>
        <v>#DIV/0!</v>
      </c>
      <c r="O37" s="172"/>
      <c r="P37" s="213" t="s">
        <v>139</v>
      </c>
      <c r="Q37" s="194">
        <v>37</v>
      </c>
      <c r="R37" s="194" t="s">
        <v>35</v>
      </c>
      <c r="S37" s="195">
        <f>INDEX('WEG Motor'!$B$3:$AZ$55,
       MATCH(Q37,'WEG Motor'!$A$3:$A$55,0),
       MATCH(R37,'WEG Motor'!$B$2:$AZ$2,0))%</f>
        <v>0.93900000000000006</v>
      </c>
      <c r="T37" s="195">
        <v>0.92</v>
      </c>
      <c r="U37" s="195">
        <v>0.78869999999999996</v>
      </c>
      <c r="V37" s="196">
        <v>2.464</v>
      </c>
      <c r="W37" s="140">
        <f>ROUND(((($BT$6*$BW$5*(C31*0.001)*D37)/1000)/U37), 2)</f>
        <v>30.22</v>
      </c>
      <c r="X37" s="194">
        <f t="shared" si="47"/>
        <v>32.18</v>
      </c>
      <c r="Y37" s="246">
        <f t="shared" si="15"/>
        <v>34.979999999999997</v>
      </c>
      <c r="Z37" s="214"/>
      <c r="AA37" s="219"/>
      <c r="AB37" s="197"/>
      <c r="AC37" s="197"/>
      <c r="AD37" s="198" t="e">
        <f>INDEX('WEG Motor'!$B$3:$AZ$55,
       MATCH(AB37,'WEG Motor'!$A$3:$A$55,0),
       MATCH(AC37,'WEG Motor'!$B$2:$AZ$2,0))%</f>
        <v>#N/A</v>
      </c>
      <c r="AE37" s="198">
        <v>0.92</v>
      </c>
      <c r="AF37" s="198"/>
      <c r="AG37" s="199"/>
      <c r="AH37" s="141" t="e">
        <f>ROUND(((($BT$6*$BW$5*(C31*0.001)*D37)/1000)/AF37), 2)</f>
        <v>#DIV/0!</v>
      </c>
      <c r="AI37" s="197" t="e">
        <f t="shared" si="48"/>
        <v>#DIV/0!</v>
      </c>
      <c r="AJ37" s="245" t="e">
        <f t="shared" si="16"/>
        <v>#DIV/0!</v>
      </c>
      <c r="AK37" s="220"/>
      <c r="AL37" s="225"/>
      <c r="AM37" s="200"/>
      <c r="AN37" s="200"/>
      <c r="AO37" s="201" t="e">
        <f>INDEX('WEG Motor'!$B$3:$AZ$55,
       MATCH(AM37,'WEG Motor'!$A$3:$A$55,0),
       MATCH(AN37,'WEG Motor'!$B$2:$AZ$2,0))%</f>
        <v>#N/A</v>
      </c>
      <c r="AP37" s="201">
        <v>0.92</v>
      </c>
      <c r="AQ37" s="201"/>
      <c r="AR37" s="202"/>
      <c r="AS37" s="142" t="e">
        <f>ROUND(((($BT$6*$BW$5*(C31*0.001)*D37)/1000)/AQ37), 2)</f>
        <v>#DIV/0!</v>
      </c>
      <c r="AT37" s="200" t="e">
        <f t="shared" si="49"/>
        <v>#DIV/0!</v>
      </c>
      <c r="AU37" s="244" t="e">
        <f t="shared" si="17"/>
        <v>#DIV/0!</v>
      </c>
      <c r="AV37" s="226"/>
      <c r="AW37" s="231"/>
      <c r="AX37" s="203"/>
      <c r="AY37" s="203"/>
      <c r="AZ37" s="204" t="e">
        <f>INDEX('WEG Motor'!$B$3:$AZ$55,
       MATCH(AX37,'WEG Motor'!$A$3:$A$55,0),
       MATCH(AY37,'WEG Motor'!$B$2:$AZ$2,0))%</f>
        <v>#N/A</v>
      </c>
      <c r="BA37" s="204">
        <v>0.92</v>
      </c>
      <c r="BB37" s="204"/>
      <c r="BC37" s="205"/>
      <c r="BD37" s="143" t="e">
        <f>ROUND(((($BT$6*$BW$5*(C31*0.001)*D37)/1000)/BB37), 2)</f>
        <v>#DIV/0!</v>
      </c>
      <c r="BE37" s="203" t="e">
        <f t="shared" si="50"/>
        <v>#DIV/0!</v>
      </c>
      <c r="BF37" s="243" t="e">
        <f t="shared" si="18"/>
        <v>#DIV/0!</v>
      </c>
      <c r="BG37" s="232"/>
      <c r="BH37" s="235"/>
      <c r="BI37" s="66"/>
      <c r="BJ37" s="66"/>
      <c r="BK37" s="206" t="e">
        <f>INDEX('WEG Motor'!$B$3:$AZ$55,
       MATCH(BI37,'WEG Motor'!$A$3:$A$55,0),
       MATCH(BJ37,'WEG Motor'!$B$2:$AZ$2,0))%</f>
        <v>#N/A</v>
      </c>
      <c r="BL37" s="206">
        <v>0.92</v>
      </c>
      <c r="BM37" s="206"/>
      <c r="BN37" s="207"/>
      <c r="BO37" s="144" t="e">
        <f>ROUND(((($BT$6*$BW$5*(C31*0.001)*D37)/1000)/BM37), 2)</f>
        <v>#DIV/0!</v>
      </c>
      <c r="BP37" s="292" t="e">
        <f t="shared" si="51"/>
        <v>#DIV/0!</v>
      </c>
      <c r="BQ37" s="293" t="e">
        <f t="shared" si="52"/>
        <v>#DIV/0!</v>
      </c>
      <c r="BR37" s="208"/>
    </row>
    <row r="38" spans="1:70" x14ac:dyDescent="0.3">
      <c r="A38" s="308">
        <v>5</v>
      </c>
      <c r="B38" s="308">
        <v>500</v>
      </c>
      <c r="C38" s="311">
        <f>ROUND((B38 * $BW$7 * 1000) / ($BT$6 * $BW$3 * $BW$4), 0)</f>
        <v>60</v>
      </c>
      <c r="D38" s="145">
        <v>15</v>
      </c>
      <c r="E38" s="173"/>
      <c r="F38" s="53"/>
      <c r="G38" s="53"/>
      <c r="H38" s="174" t="e">
        <f>INDEX('WEG Motor'!$B$3:$AZ$55,
       MATCH(F38,'WEG Motor'!$A$3:$A$55,0),
       MATCH(G38,'WEG Motor'!$B$2:$AZ$2,0))%</f>
        <v>#N/A</v>
      </c>
      <c r="I38" s="174">
        <v>0.92</v>
      </c>
      <c r="J38" s="282"/>
      <c r="K38" s="175"/>
      <c r="L38" s="285" t="e">
        <f t="shared" ref="L38" si="54">ROUND(((($BT$6*$BW$5*(C38*0.001)*D38)/1000)/J38), 2)</f>
        <v>#DIV/0!</v>
      </c>
      <c r="M38" s="53" t="e">
        <f>ROUND((L38/H38),2)</f>
        <v>#DIV/0!</v>
      </c>
      <c r="N38" s="236" t="e">
        <f t="shared" si="14"/>
        <v>#DIV/0!</v>
      </c>
      <c r="O38" s="176"/>
      <c r="P38" s="209" t="s">
        <v>79</v>
      </c>
      <c r="Q38" s="177">
        <v>15</v>
      </c>
      <c r="R38" s="177" t="s">
        <v>35</v>
      </c>
      <c r="S38" s="178">
        <f>INDEX('WEG Motor'!$B$3:$AZ$55,
       MATCH(Q38,'WEG Motor'!$A$3:$A$55,0),
       MATCH(R38,'WEG Motor'!$B$2:$AZ$2,0))%</f>
        <v>0.92099999999999993</v>
      </c>
      <c r="T38" s="178">
        <v>0.92</v>
      </c>
      <c r="U38" s="178">
        <v>0.85299999999999998</v>
      </c>
      <c r="V38" s="179">
        <v>2.601</v>
      </c>
      <c r="W38" s="297">
        <f>ROUND(((($BT$6*$BW$5*(C38*0.001)*D38)/1000)/U38), 2)</f>
        <v>10.35</v>
      </c>
      <c r="X38" s="177">
        <f>ROUND((W38/S38),2)</f>
        <v>11.24</v>
      </c>
      <c r="Y38" s="276">
        <f t="shared" si="15"/>
        <v>12.22</v>
      </c>
      <c r="Z38" s="210"/>
      <c r="AA38" s="215"/>
      <c r="AB38" s="180"/>
      <c r="AC38" s="180"/>
      <c r="AD38" s="181" t="e">
        <f>INDEX('WEG Motor'!$B$3:$AZ$55,
       MATCH(AB38,'WEG Motor'!$A$3:$A$55,0),
       MATCH(AC38,'WEG Motor'!$B$2:$AZ$2,0))%</f>
        <v>#N/A</v>
      </c>
      <c r="AE38" s="181">
        <v>0.92</v>
      </c>
      <c r="AF38" s="181"/>
      <c r="AG38" s="182"/>
      <c r="AH38" s="296" t="e">
        <f>ROUND(((($BT$6*$BW$5*(C38*0.001)*D38)/1000)/AF38), 2)</f>
        <v>#DIV/0!</v>
      </c>
      <c r="AI38" s="180" t="e">
        <f>ROUND((AH38/AD38),2)</f>
        <v>#DIV/0!</v>
      </c>
      <c r="AJ38" s="277" t="e">
        <f t="shared" si="16"/>
        <v>#DIV/0!</v>
      </c>
      <c r="AK38" s="216"/>
      <c r="AL38" s="221"/>
      <c r="AM38" s="183"/>
      <c r="AN38" s="183"/>
      <c r="AO38" s="184" t="e">
        <f>INDEX('WEG Motor'!$B$3:$AZ$55,
       MATCH(AM38,'WEG Motor'!$A$3:$A$55,0),
       MATCH(AN38,'WEG Motor'!$B$2:$AZ$2,0))%</f>
        <v>#N/A</v>
      </c>
      <c r="AP38" s="184">
        <v>0.92</v>
      </c>
      <c r="AQ38" s="184"/>
      <c r="AR38" s="185"/>
      <c r="AS38" s="295" t="e">
        <f>ROUND(((($BT$6*$BW$5*(C38*0.001)*D38)/1000)/AQ38), 2)</f>
        <v>#DIV/0!</v>
      </c>
      <c r="AT38" s="183" t="e">
        <f>ROUND((AS38/AO38),2)</f>
        <v>#DIV/0!</v>
      </c>
      <c r="AU38" s="278" t="e">
        <f t="shared" si="17"/>
        <v>#DIV/0!</v>
      </c>
      <c r="AV38" s="222"/>
      <c r="AW38" s="227"/>
      <c r="AX38" s="186"/>
      <c r="AY38" s="186"/>
      <c r="AZ38" s="187" t="e">
        <f>INDEX('WEG Motor'!$B$3:$AZ$55,
       MATCH(AX38,'WEG Motor'!$A$3:$A$55,0),
       MATCH(AY38,'WEG Motor'!$B$2:$AZ$2,0))%</f>
        <v>#N/A</v>
      </c>
      <c r="BA38" s="187">
        <v>0.92</v>
      </c>
      <c r="BB38" s="187"/>
      <c r="BC38" s="188"/>
      <c r="BD38" s="294" t="e">
        <f>ROUND(((($BT$6*$BW$5*(C38*0.001)*D38)/1000)/BB38), 2)</f>
        <v>#DIV/0!</v>
      </c>
      <c r="BE38" s="186" t="e">
        <f>ROUND((BD38/AZ38),2)</f>
        <v>#DIV/0!</v>
      </c>
      <c r="BF38" s="279" t="e">
        <f t="shared" si="18"/>
        <v>#DIV/0!</v>
      </c>
      <c r="BG38" s="228"/>
      <c r="BH38" s="233"/>
      <c r="BI38" s="189"/>
      <c r="BJ38" s="189"/>
      <c r="BK38" s="190" t="e">
        <f>INDEX('WEG Motor'!$B$3:$AZ$55,
       MATCH(BI38,'WEG Motor'!$A$3:$A$55,0),
       MATCH(BJ38,'WEG Motor'!$B$2:$AZ$2,0))%</f>
        <v>#N/A</v>
      </c>
      <c r="BL38" s="190">
        <v>0.92</v>
      </c>
      <c r="BM38" s="190"/>
      <c r="BN38" s="191"/>
      <c r="BO38" s="289" t="e">
        <f>ROUND(((($BT$6*$BW$5*(C38*0.001)*D38)/1000)/BM38), 2)</f>
        <v>#DIV/0!</v>
      </c>
      <c r="BP38" s="290" t="e">
        <f>ROUND((BO38/BK38),2)</f>
        <v>#DIV/0!</v>
      </c>
      <c r="BQ38" s="291" t="e">
        <f>ROUND((BP38/BL38), 2)</f>
        <v>#DIV/0!</v>
      </c>
      <c r="BR38" s="192"/>
    </row>
    <row r="39" spans="1:70" x14ac:dyDescent="0.3">
      <c r="A39" s="309"/>
      <c r="B39" s="309"/>
      <c r="C39" s="312"/>
      <c r="D39" s="164">
        <v>20</v>
      </c>
      <c r="E39" s="166"/>
      <c r="F39" s="146"/>
      <c r="G39" s="146"/>
      <c r="H39" s="147" t="e">
        <f>INDEX('WEG Motor'!$B$3:$AZ$55,
       MATCH(F39,'WEG Motor'!$A$3:$A$55,0),
       MATCH(G39,'WEG Motor'!$B$2:$AZ$2,0))%</f>
        <v>#N/A</v>
      </c>
      <c r="I39" s="147">
        <v>0.92</v>
      </c>
      <c r="J39" s="283"/>
      <c r="K39" s="148"/>
      <c r="L39" s="286" t="e">
        <f>ROUND(((($BT$6*$BW$5*(C38*0.001)*D39)/1000)/J39), 2)</f>
        <v>#DIV/0!</v>
      </c>
      <c r="M39" s="146" t="e">
        <f t="shared" ref="M39:M44" si="55">ROUND((L39/H39),2)</f>
        <v>#DIV/0!</v>
      </c>
      <c r="N39" s="237" t="e">
        <f t="shared" si="14"/>
        <v>#DIV/0!</v>
      </c>
      <c r="O39" s="167"/>
      <c r="P39" s="211" t="s">
        <v>50</v>
      </c>
      <c r="Q39" s="23">
        <v>18.5</v>
      </c>
      <c r="R39" s="23" t="s">
        <v>35</v>
      </c>
      <c r="S39" s="149">
        <f>INDEX('WEG Motor'!$B$3:$AZ$55,
       MATCH(Q39,'WEG Motor'!$A$3:$A$55,0),
       MATCH(R39,'WEG Motor'!$B$2:$AZ$2,0))%</f>
        <v>0.92599999999999993</v>
      </c>
      <c r="T39" s="149">
        <v>0.92</v>
      </c>
      <c r="U39" s="149">
        <v>0.84850000000000003</v>
      </c>
      <c r="V39" s="150">
        <v>2.6080000000000001</v>
      </c>
      <c r="W39" s="151">
        <f>ROUND(((($BT$6*$BW$5*(C38*0.001)*D39)/1000)/U39), 2)</f>
        <v>13.87</v>
      </c>
      <c r="X39" s="23">
        <f t="shared" ref="X39:X44" si="56">ROUND((W39/S39),2)</f>
        <v>14.98</v>
      </c>
      <c r="Y39" s="238">
        <f t="shared" si="15"/>
        <v>16.28</v>
      </c>
      <c r="Z39" s="212"/>
      <c r="AA39" s="217"/>
      <c r="AB39" s="24"/>
      <c r="AC39" s="24"/>
      <c r="AD39" s="152" t="e">
        <f>INDEX('WEG Motor'!$B$3:$AZ$55,
       MATCH(AB39,'WEG Motor'!$A$3:$A$55,0),
       MATCH(AC39,'WEG Motor'!$B$2:$AZ$2,0))%</f>
        <v>#N/A</v>
      </c>
      <c r="AE39" s="152">
        <v>0.92</v>
      </c>
      <c r="AF39" s="152"/>
      <c r="AG39" s="153"/>
      <c r="AH39" s="154" t="e">
        <f>ROUND(((($BT$6*$BW$5*(C38*0.001)*D39)/1000)/AF39), 2)</f>
        <v>#DIV/0!</v>
      </c>
      <c r="AI39" s="24" t="e">
        <f t="shared" ref="AI39:AI44" si="57">ROUND((AH39/AD39),2)</f>
        <v>#DIV/0!</v>
      </c>
      <c r="AJ39" s="239" t="e">
        <f t="shared" si="16"/>
        <v>#DIV/0!</v>
      </c>
      <c r="AK39" s="218"/>
      <c r="AL39" s="223"/>
      <c r="AM39" s="25"/>
      <c r="AN39" s="25"/>
      <c r="AO39" s="155" t="e">
        <f>INDEX('WEG Motor'!$B$3:$AZ$55,
       MATCH(AM39,'WEG Motor'!$A$3:$A$55,0),
       MATCH(AN39,'WEG Motor'!$B$2:$AZ$2,0))%</f>
        <v>#N/A</v>
      </c>
      <c r="AP39" s="155">
        <v>0.92</v>
      </c>
      <c r="AQ39" s="155"/>
      <c r="AR39" s="156"/>
      <c r="AS39" s="157" t="e">
        <f>ROUND(((($BT$6*$BW$5*(C38*0.001)*D39)/1000)/AQ39), 2)</f>
        <v>#DIV/0!</v>
      </c>
      <c r="AT39" s="25" t="e">
        <f t="shared" ref="AT39:AT44" si="58">ROUND((AS39/AO39),2)</f>
        <v>#DIV/0!</v>
      </c>
      <c r="AU39" s="240" t="e">
        <f t="shared" si="17"/>
        <v>#DIV/0!</v>
      </c>
      <c r="AV39" s="224"/>
      <c r="AW39" s="229"/>
      <c r="AX39" s="12"/>
      <c r="AY39" s="12"/>
      <c r="AZ39" s="158" t="e">
        <f>INDEX('WEG Motor'!$B$3:$AZ$55,
       MATCH(AX39,'WEG Motor'!$A$3:$A$55,0),
       MATCH(AY39,'WEG Motor'!$B$2:$AZ$2,0))%</f>
        <v>#N/A</v>
      </c>
      <c r="BA39" s="158">
        <v>0.92</v>
      </c>
      <c r="BB39" s="158"/>
      <c r="BC39" s="159"/>
      <c r="BD39" s="160" t="e">
        <f>ROUND(((($BT$6*$BW$5*(C38*0.001)*D39)/1000)/BB39), 2)</f>
        <v>#DIV/0!</v>
      </c>
      <c r="BE39" s="12" t="e">
        <f t="shared" ref="BE39:BE44" si="59">ROUND((BD39/AZ39),2)</f>
        <v>#DIV/0!</v>
      </c>
      <c r="BF39" s="241" t="e">
        <f t="shared" si="18"/>
        <v>#DIV/0!</v>
      </c>
      <c r="BG39" s="230"/>
      <c r="BH39" s="234"/>
      <c r="BI39" s="22"/>
      <c r="BJ39" s="22"/>
      <c r="BK39" s="161" t="e">
        <f>INDEX('WEG Motor'!$B$3:$AZ$55,
       MATCH(BI39,'WEG Motor'!$A$3:$A$55,0),
       MATCH(BJ39,'WEG Motor'!$B$2:$AZ$2,0))%</f>
        <v>#N/A</v>
      </c>
      <c r="BL39" s="161">
        <v>0.92</v>
      </c>
      <c r="BM39" s="161"/>
      <c r="BN39" s="162"/>
      <c r="BO39" s="163" t="e">
        <f>ROUND(((($BT$6*$BW$5*(C38*0.001)*D39)/1000)/BM39), 2)</f>
        <v>#DIV/0!</v>
      </c>
      <c r="BP39" s="22" t="e">
        <f t="shared" ref="BP39:BP44" si="60">ROUND((BO39/BK39),2)</f>
        <v>#DIV/0!</v>
      </c>
      <c r="BQ39" s="242" t="e">
        <f t="shared" ref="BQ39:BQ44" si="61">ROUND((BP39/BL39), 2)</f>
        <v>#DIV/0!</v>
      </c>
      <c r="BR39" s="193"/>
    </row>
    <row r="40" spans="1:70" x14ac:dyDescent="0.3">
      <c r="A40" s="309"/>
      <c r="B40" s="309"/>
      <c r="C40" s="312"/>
      <c r="D40" s="164">
        <v>25</v>
      </c>
      <c r="E40" s="166"/>
      <c r="F40" s="146"/>
      <c r="G40" s="146"/>
      <c r="H40" s="147" t="e">
        <f>INDEX('WEG Motor'!$B$3:$AZ$55,
       MATCH(F40,'WEG Motor'!$A$3:$A$55,0),
       MATCH(G40,'WEG Motor'!$B$2:$AZ$2,0))%</f>
        <v>#N/A</v>
      </c>
      <c r="I40" s="147">
        <v>0.92</v>
      </c>
      <c r="J40" s="283"/>
      <c r="K40" s="148"/>
      <c r="L40" s="286" t="e">
        <f>ROUND(((($BT$6*$BW$5*(C38*0.001)*D40)/1000)/J40), 2)</f>
        <v>#DIV/0!</v>
      </c>
      <c r="M40" s="146" t="e">
        <f t="shared" si="55"/>
        <v>#DIV/0!</v>
      </c>
      <c r="N40" s="237" t="e">
        <f t="shared" si="14"/>
        <v>#DIV/0!</v>
      </c>
      <c r="O40" s="167"/>
      <c r="P40" s="211" t="s">
        <v>85</v>
      </c>
      <c r="Q40" s="23">
        <v>22</v>
      </c>
      <c r="R40" s="23" t="s">
        <v>35</v>
      </c>
      <c r="S40" s="149">
        <f>INDEX('WEG Motor'!$B$3:$AZ$55,
       MATCH(Q40,'WEG Motor'!$A$3:$A$55,0),
       MATCH(R40,'WEG Motor'!$B$2:$AZ$2,0))%</f>
        <v>0.93099999999999994</v>
      </c>
      <c r="T40" s="149">
        <v>0.92</v>
      </c>
      <c r="U40" s="149">
        <v>0.85450000000000004</v>
      </c>
      <c r="V40" s="150">
        <v>2.601</v>
      </c>
      <c r="W40" s="151">
        <f>ROUND(((($BT$6*$BW$5*(C38*0.001)*D40)/1000)/U40), 2)</f>
        <v>17.22</v>
      </c>
      <c r="X40" s="23">
        <f t="shared" si="56"/>
        <v>18.5</v>
      </c>
      <c r="Y40" s="238">
        <f t="shared" si="15"/>
        <v>20.11</v>
      </c>
      <c r="Z40" s="212"/>
      <c r="AA40" s="217"/>
      <c r="AB40" s="24"/>
      <c r="AC40" s="24"/>
      <c r="AD40" s="152" t="e">
        <f>INDEX('WEG Motor'!$B$3:$AZ$55,
       MATCH(AB40,'WEG Motor'!$A$3:$A$55,0),
       MATCH(AC40,'WEG Motor'!$B$2:$AZ$2,0))%</f>
        <v>#N/A</v>
      </c>
      <c r="AE40" s="152">
        <v>0.92</v>
      </c>
      <c r="AF40" s="152"/>
      <c r="AG40" s="153"/>
      <c r="AH40" s="154" t="e">
        <f>ROUND(((($BT$6*$BW$5*(C38*0.001)*D40)/1000)/AF40), 2)</f>
        <v>#DIV/0!</v>
      </c>
      <c r="AI40" s="24" t="e">
        <f t="shared" si="57"/>
        <v>#DIV/0!</v>
      </c>
      <c r="AJ40" s="239" t="e">
        <f t="shared" si="16"/>
        <v>#DIV/0!</v>
      </c>
      <c r="AK40" s="218"/>
      <c r="AL40" s="223"/>
      <c r="AM40" s="25"/>
      <c r="AN40" s="25"/>
      <c r="AO40" s="155" t="e">
        <f>INDEX('WEG Motor'!$B$3:$AZ$55,
       MATCH(AM40,'WEG Motor'!$A$3:$A$55,0),
       MATCH(AN40,'WEG Motor'!$B$2:$AZ$2,0))%</f>
        <v>#N/A</v>
      </c>
      <c r="AP40" s="155">
        <v>0.92</v>
      </c>
      <c r="AQ40" s="155"/>
      <c r="AR40" s="156"/>
      <c r="AS40" s="157" t="e">
        <f>ROUND(((($BT$6*$BW$5*(C38*0.001)*D40)/1000)/AQ40), 2)</f>
        <v>#DIV/0!</v>
      </c>
      <c r="AT40" s="25" t="e">
        <f t="shared" si="58"/>
        <v>#DIV/0!</v>
      </c>
      <c r="AU40" s="240" t="e">
        <f t="shared" si="17"/>
        <v>#DIV/0!</v>
      </c>
      <c r="AV40" s="224"/>
      <c r="AW40" s="229"/>
      <c r="AX40" s="12"/>
      <c r="AY40" s="12"/>
      <c r="AZ40" s="158" t="e">
        <f>INDEX('WEG Motor'!$B$3:$AZ$55,
       MATCH(AX40,'WEG Motor'!$A$3:$A$55,0),
       MATCH(AY40,'WEG Motor'!$B$2:$AZ$2,0))%</f>
        <v>#N/A</v>
      </c>
      <c r="BA40" s="158">
        <v>0.92</v>
      </c>
      <c r="BB40" s="158"/>
      <c r="BC40" s="159"/>
      <c r="BD40" s="160" t="e">
        <f>ROUND(((($BT$6*$BW$5*(C38*0.001)*D40)/1000)/BB40), 2)</f>
        <v>#DIV/0!</v>
      </c>
      <c r="BE40" s="12" t="e">
        <f t="shared" si="59"/>
        <v>#DIV/0!</v>
      </c>
      <c r="BF40" s="241" t="e">
        <f t="shared" si="18"/>
        <v>#DIV/0!</v>
      </c>
      <c r="BG40" s="230"/>
      <c r="BH40" s="234"/>
      <c r="BI40" s="22"/>
      <c r="BJ40" s="22"/>
      <c r="BK40" s="161" t="e">
        <f>INDEX('WEG Motor'!$B$3:$AZ$55,
       MATCH(BI40,'WEG Motor'!$A$3:$A$55,0),
       MATCH(BJ40,'WEG Motor'!$B$2:$AZ$2,0))%</f>
        <v>#N/A</v>
      </c>
      <c r="BL40" s="161">
        <v>0.92</v>
      </c>
      <c r="BM40" s="161"/>
      <c r="BN40" s="162"/>
      <c r="BO40" s="163" t="e">
        <f>ROUND(((($BT$6*$BW$5*(C38*0.001)*D40)/1000)/BM40), 2)</f>
        <v>#DIV/0!</v>
      </c>
      <c r="BP40" s="22" t="e">
        <f t="shared" si="60"/>
        <v>#DIV/0!</v>
      </c>
      <c r="BQ40" s="242" t="e">
        <f t="shared" si="61"/>
        <v>#DIV/0!</v>
      </c>
      <c r="BR40" s="193"/>
    </row>
    <row r="41" spans="1:70" x14ac:dyDescent="0.3">
      <c r="A41" s="309"/>
      <c r="B41" s="309"/>
      <c r="C41" s="312"/>
      <c r="D41" s="164">
        <v>30</v>
      </c>
      <c r="E41" s="166"/>
      <c r="F41" s="146"/>
      <c r="G41" s="146"/>
      <c r="H41" s="147" t="e">
        <f>INDEX('WEG Motor'!$B$3:$AZ$55,
       MATCH(F41,'WEG Motor'!$A$3:$A$55,0),
       MATCH(G41,'WEG Motor'!$B$2:$AZ$2,0))%</f>
        <v>#N/A</v>
      </c>
      <c r="I41" s="147">
        <v>0.92</v>
      </c>
      <c r="J41" s="283"/>
      <c r="K41" s="148"/>
      <c r="L41" s="286" t="e">
        <f>ROUND(((($BT$6*$BW$5*(C38*0.001)*D41)/1000)/J41), 2)</f>
        <v>#DIV/0!</v>
      </c>
      <c r="M41" s="146" t="e">
        <f t="shared" si="55"/>
        <v>#DIV/0!</v>
      </c>
      <c r="N41" s="237" t="e">
        <f t="shared" si="14"/>
        <v>#DIV/0!</v>
      </c>
      <c r="O41" s="167"/>
      <c r="P41" s="211" t="s">
        <v>134</v>
      </c>
      <c r="Q41" s="23">
        <v>30</v>
      </c>
      <c r="R41" s="23" t="s">
        <v>35</v>
      </c>
      <c r="S41" s="149">
        <f>INDEX('WEG Motor'!$B$3:$AZ$55,
       MATCH(Q41,'WEG Motor'!$A$3:$A$55,0),
       MATCH(R41,'WEG Motor'!$B$2:$AZ$2,0))%</f>
        <v>0.93599999999999994</v>
      </c>
      <c r="T41" s="149">
        <v>0.92</v>
      </c>
      <c r="U41" s="149">
        <v>0.83179999999999998</v>
      </c>
      <c r="V41" s="150">
        <v>4.2690000000000001</v>
      </c>
      <c r="W41" s="151">
        <f>ROUND(((($BT$6*$BW$5*(C38*0.001)*D41)/1000)/U41), 2)</f>
        <v>21.22</v>
      </c>
      <c r="X41" s="23">
        <f t="shared" si="56"/>
        <v>22.67</v>
      </c>
      <c r="Y41" s="238">
        <f t="shared" si="15"/>
        <v>24.64</v>
      </c>
      <c r="Z41" s="212"/>
      <c r="AA41" s="217"/>
      <c r="AB41" s="24"/>
      <c r="AC41" s="24"/>
      <c r="AD41" s="152" t="e">
        <f>INDEX('WEG Motor'!$B$3:$AZ$55,
       MATCH(AB41,'WEG Motor'!$A$3:$A$55,0),
       MATCH(AC41,'WEG Motor'!$B$2:$AZ$2,0))%</f>
        <v>#N/A</v>
      </c>
      <c r="AE41" s="152">
        <v>0.92</v>
      </c>
      <c r="AF41" s="152"/>
      <c r="AG41" s="153"/>
      <c r="AH41" s="154" t="e">
        <f>ROUND(((($BT$6*$BW$5*(C38*0.001)*D41)/1000)/AF41), 2)</f>
        <v>#DIV/0!</v>
      </c>
      <c r="AI41" s="24" t="e">
        <f t="shared" si="57"/>
        <v>#DIV/0!</v>
      </c>
      <c r="AJ41" s="239" t="e">
        <f t="shared" si="16"/>
        <v>#DIV/0!</v>
      </c>
      <c r="AK41" s="218"/>
      <c r="AL41" s="223"/>
      <c r="AM41" s="25"/>
      <c r="AN41" s="25"/>
      <c r="AO41" s="155" t="e">
        <f>INDEX('WEG Motor'!$B$3:$AZ$55,
       MATCH(AM41,'WEG Motor'!$A$3:$A$55,0),
       MATCH(AN41,'WEG Motor'!$B$2:$AZ$2,0))%</f>
        <v>#N/A</v>
      </c>
      <c r="AP41" s="155">
        <v>0.92</v>
      </c>
      <c r="AQ41" s="155"/>
      <c r="AR41" s="156"/>
      <c r="AS41" s="157" t="e">
        <f>ROUND(((($BT$6*$BW$5*(C38*0.001)*D41)/1000)/AQ41), 2)</f>
        <v>#DIV/0!</v>
      </c>
      <c r="AT41" s="25" t="e">
        <f t="shared" si="58"/>
        <v>#DIV/0!</v>
      </c>
      <c r="AU41" s="240" t="e">
        <f t="shared" si="17"/>
        <v>#DIV/0!</v>
      </c>
      <c r="AV41" s="224"/>
      <c r="AW41" s="229"/>
      <c r="AX41" s="12"/>
      <c r="AY41" s="12"/>
      <c r="AZ41" s="158" t="e">
        <f>INDEX('WEG Motor'!$B$3:$AZ$55,
       MATCH(AX41,'WEG Motor'!$A$3:$A$55,0),
       MATCH(AY41,'WEG Motor'!$B$2:$AZ$2,0))%</f>
        <v>#N/A</v>
      </c>
      <c r="BA41" s="158">
        <v>0.92</v>
      </c>
      <c r="BB41" s="158"/>
      <c r="BC41" s="159"/>
      <c r="BD41" s="160" t="e">
        <f>ROUND(((($BT$6*$BW$5*(C38*0.001)*D41)/1000)/BB41), 2)</f>
        <v>#DIV/0!</v>
      </c>
      <c r="BE41" s="12" t="e">
        <f t="shared" si="59"/>
        <v>#DIV/0!</v>
      </c>
      <c r="BF41" s="241" t="e">
        <f t="shared" si="18"/>
        <v>#DIV/0!</v>
      </c>
      <c r="BG41" s="230"/>
      <c r="BH41" s="234"/>
      <c r="BI41" s="22"/>
      <c r="BJ41" s="22"/>
      <c r="BK41" s="161" t="e">
        <f>INDEX('WEG Motor'!$B$3:$AZ$55,
       MATCH(BI41,'WEG Motor'!$A$3:$A$55,0),
       MATCH(BJ41,'WEG Motor'!$B$2:$AZ$2,0))%</f>
        <v>#N/A</v>
      </c>
      <c r="BL41" s="161">
        <v>0.92</v>
      </c>
      <c r="BM41" s="161"/>
      <c r="BN41" s="162"/>
      <c r="BO41" s="163" t="e">
        <f>ROUND(((($BT$6*$BW$5*(C38*0.001)*D41)/1000)/BM41), 2)</f>
        <v>#DIV/0!</v>
      </c>
      <c r="BP41" s="22" t="e">
        <f t="shared" si="60"/>
        <v>#DIV/0!</v>
      </c>
      <c r="BQ41" s="242" t="e">
        <f t="shared" si="61"/>
        <v>#DIV/0!</v>
      </c>
      <c r="BR41" s="193"/>
    </row>
    <row r="42" spans="1:70" x14ac:dyDescent="0.3">
      <c r="A42" s="309"/>
      <c r="B42" s="309"/>
      <c r="C42" s="312"/>
      <c r="D42" s="164">
        <v>35</v>
      </c>
      <c r="E42" s="166"/>
      <c r="F42" s="146"/>
      <c r="G42" s="146"/>
      <c r="H42" s="147" t="e">
        <f>INDEX('WEG Motor'!$B$3:$AZ$55,
       MATCH(F42,'WEG Motor'!$A$3:$A$55,0),
       MATCH(G42,'WEG Motor'!$B$2:$AZ$2,0))%</f>
        <v>#N/A</v>
      </c>
      <c r="I42" s="147">
        <v>0.92</v>
      </c>
      <c r="J42" s="283"/>
      <c r="K42" s="148"/>
      <c r="L42" s="286" t="e">
        <f t="shared" ref="L42" si="62">ROUND(((($BT$6*$BW$5*(C42*0.001)*D42)/1000)/J42), 2)</f>
        <v>#DIV/0!</v>
      </c>
      <c r="M42" s="146" t="e">
        <f t="shared" si="55"/>
        <v>#DIV/0!</v>
      </c>
      <c r="N42" s="237" t="e">
        <f t="shared" si="14"/>
        <v>#DIV/0!</v>
      </c>
      <c r="O42" s="167"/>
      <c r="P42" s="211" t="s">
        <v>134</v>
      </c>
      <c r="Q42" s="23">
        <v>30</v>
      </c>
      <c r="R42" s="23" t="s">
        <v>35</v>
      </c>
      <c r="S42" s="149">
        <f>INDEX('WEG Motor'!$B$3:$AZ$55,
       MATCH(Q42,'WEG Motor'!$A$3:$A$55,0),
       MATCH(R42,'WEG Motor'!$B$2:$AZ$2,0))%</f>
        <v>0.93599999999999994</v>
      </c>
      <c r="T42" s="149">
        <v>0.92</v>
      </c>
      <c r="U42" s="149">
        <v>0.83260000000000001</v>
      </c>
      <c r="V42" s="150">
        <v>4.2679999999999998</v>
      </c>
      <c r="W42" s="151">
        <f>ROUND(((($BT$6*$BW$5*(C38*0.001)*D42)/1000)/U42), 2)</f>
        <v>24.74</v>
      </c>
      <c r="X42" s="23">
        <f t="shared" si="56"/>
        <v>26.43</v>
      </c>
      <c r="Y42" s="238">
        <f t="shared" si="15"/>
        <v>28.73</v>
      </c>
      <c r="Z42" s="212"/>
      <c r="AA42" s="217"/>
      <c r="AB42" s="24"/>
      <c r="AC42" s="24"/>
      <c r="AD42" s="152" t="e">
        <f>INDEX('WEG Motor'!$B$3:$AZ$55,
       MATCH(AB42,'WEG Motor'!$A$3:$A$55,0),
       MATCH(AC42,'WEG Motor'!$B$2:$AZ$2,0))%</f>
        <v>#N/A</v>
      </c>
      <c r="AE42" s="152">
        <v>0.92</v>
      </c>
      <c r="AF42" s="152"/>
      <c r="AG42" s="153"/>
      <c r="AH42" s="154" t="e">
        <f>ROUND(((($BT$6*$BW$5*(C38*0.001)*D42)/1000)/AF42), 2)</f>
        <v>#DIV/0!</v>
      </c>
      <c r="AI42" s="24" t="e">
        <f t="shared" si="57"/>
        <v>#DIV/0!</v>
      </c>
      <c r="AJ42" s="239" t="e">
        <f t="shared" si="16"/>
        <v>#DIV/0!</v>
      </c>
      <c r="AK42" s="218"/>
      <c r="AL42" s="223"/>
      <c r="AM42" s="25"/>
      <c r="AN42" s="25"/>
      <c r="AO42" s="155" t="e">
        <f>INDEX('WEG Motor'!$B$3:$AZ$55,
       MATCH(AM42,'WEG Motor'!$A$3:$A$55,0),
       MATCH(AN42,'WEG Motor'!$B$2:$AZ$2,0))%</f>
        <v>#N/A</v>
      </c>
      <c r="AP42" s="155">
        <v>0.92</v>
      </c>
      <c r="AQ42" s="155"/>
      <c r="AR42" s="156"/>
      <c r="AS42" s="157" t="e">
        <f>ROUND(((($BT$6*$BW$5*(C38*0.001)*D42)/1000)/AQ42), 2)</f>
        <v>#DIV/0!</v>
      </c>
      <c r="AT42" s="25" t="e">
        <f t="shared" si="58"/>
        <v>#DIV/0!</v>
      </c>
      <c r="AU42" s="240" t="e">
        <f t="shared" si="17"/>
        <v>#DIV/0!</v>
      </c>
      <c r="AV42" s="224"/>
      <c r="AW42" s="229"/>
      <c r="AX42" s="12"/>
      <c r="AY42" s="12"/>
      <c r="AZ42" s="158" t="e">
        <f>INDEX('WEG Motor'!$B$3:$AZ$55,
       MATCH(AX42,'WEG Motor'!$A$3:$A$55,0),
       MATCH(AY42,'WEG Motor'!$B$2:$AZ$2,0))%</f>
        <v>#N/A</v>
      </c>
      <c r="BA42" s="158">
        <v>0.92</v>
      </c>
      <c r="BB42" s="158"/>
      <c r="BC42" s="159"/>
      <c r="BD42" s="160" t="e">
        <f>ROUND(((($BT$6*$BW$5*(C38*0.001)*D42)/1000)/BB42), 2)</f>
        <v>#DIV/0!</v>
      </c>
      <c r="BE42" s="12" t="e">
        <f t="shared" si="59"/>
        <v>#DIV/0!</v>
      </c>
      <c r="BF42" s="241" t="e">
        <f t="shared" si="18"/>
        <v>#DIV/0!</v>
      </c>
      <c r="BG42" s="230"/>
      <c r="BH42" s="234"/>
      <c r="BI42" s="22"/>
      <c r="BJ42" s="22"/>
      <c r="BK42" s="161" t="e">
        <f>INDEX('WEG Motor'!$B$3:$AZ$55,
       MATCH(BI42,'WEG Motor'!$A$3:$A$55,0),
       MATCH(BJ42,'WEG Motor'!$B$2:$AZ$2,0))%</f>
        <v>#N/A</v>
      </c>
      <c r="BL42" s="161">
        <v>0.92</v>
      </c>
      <c r="BM42" s="161"/>
      <c r="BN42" s="162"/>
      <c r="BO42" s="163" t="e">
        <f>ROUND(((($BT$6*$BW$5*(C38*0.001)*D42)/1000)/BM42), 2)</f>
        <v>#DIV/0!</v>
      </c>
      <c r="BP42" s="22" t="e">
        <f t="shared" si="60"/>
        <v>#DIV/0!</v>
      </c>
      <c r="BQ42" s="242" t="e">
        <f t="shared" si="61"/>
        <v>#DIV/0!</v>
      </c>
      <c r="BR42" s="193"/>
    </row>
    <row r="43" spans="1:70" x14ac:dyDescent="0.3">
      <c r="A43" s="309"/>
      <c r="B43" s="309"/>
      <c r="C43" s="312"/>
      <c r="D43" s="164">
        <v>40</v>
      </c>
      <c r="E43" s="166"/>
      <c r="F43" s="146"/>
      <c r="G43" s="146"/>
      <c r="H43" s="147" t="e">
        <f>INDEX('WEG Motor'!$B$3:$AZ$55,
       MATCH(F43,'WEG Motor'!$A$3:$A$55,0),
       MATCH(G43,'WEG Motor'!$B$2:$AZ$2,0))%</f>
        <v>#N/A</v>
      </c>
      <c r="I43" s="147">
        <v>0.92</v>
      </c>
      <c r="J43" s="283"/>
      <c r="K43" s="148"/>
      <c r="L43" s="286" t="e">
        <f>ROUND(((($BT$6*$BW$5*(C38*0.001)*D43)/1000)/J43), 2)</f>
        <v>#DIV/0!</v>
      </c>
      <c r="M43" s="146" t="e">
        <f t="shared" si="55"/>
        <v>#DIV/0!</v>
      </c>
      <c r="N43" s="237" t="e">
        <f t="shared" si="14"/>
        <v>#DIV/0!</v>
      </c>
      <c r="O43" s="167"/>
      <c r="P43" s="211" t="s">
        <v>139</v>
      </c>
      <c r="Q43" s="23">
        <v>37</v>
      </c>
      <c r="R43" s="23" t="s">
        <v>35</v>
      </c>
      <c r="S43" s="149">
        <f>INDEX('WEG Motor'!$B$3:$AZ$55,
       MATCH(Q43,'WEG Motor'!$A$3:$A$55,0),
       MATCH(R43,'WEG Motor'!$B$2:$AZ$2,0))%</f>
        <v>0.93900000000000006</v>
      </c>
      <c r="T43" s="149">
        <v>0.92</v>
      </c>
      <c r="U43" s="149">
        <v>0.81679999999999997</v>
      </c>
      <c r="V43" s="150">
        <v>2.5070000000000001</v>
      </c>
      <c r="W43" s="151">
        <f>ROUND(((($BT$6*$BW$5*(C38*0.001)*D43)/1000)/U43), 2)</f>
        <v>28.82</v>
      </c>
      <c r="X43" s="23">
        <f t="shared" si="56"/>
        <v>30.69</v>
      </c>
      <c r="Y43" s="238">
        <f t="shared" si="15"/>
        <v>33.36</v>
      </c>
      <c r="Z43" s="212"/>
      <c r="AA43" s="217"/>
      <c r="AB43" s="24"/>
      <c r="AC43" s="24"/>
      <c r="AD43" s="152" t="e">
        <f>INDEX('WEG Motor'!$B$3:$AZ$55,
       MATCH(AB43,'WEG Motor'!$A$3:$A$55,0),
       MATCH(AC43,'WEG Motor'!$B$2:$AZ$2,0))%</f>
        <v>#N/A</v>
      </c>
      <c r="AE43" s="152">
        <v>0.92</v>
      </c>
      <c r="AF43" s="152"/>
      <c r="AG43" s="153"/>
      <c r="AH43" s="154" t="e">
        <f>ROUND(((($BT$6*$BW$5*(C38*0.001)*D43)/1000)/AF43), 2)</f>
        <v>#DIV/0!</v>
      </c>
      <c r="AI43" s="24" t="e">
        <f t="shared" si="57"/>
        <v>#DIV/0!</v>
      </c>
      <c r="AJ43" s="239" t="e">
        <f t="shared" si="16"/>
        <v>#DIV/0!</v>
      </c>
      <c r="AK43" s="218"/>
      <c r="AL43" s="223"/>
      <c r="AM43" s="25"/>
      <c r="AN43" s="25"/>
      <c r="AO43" s="155" t="e">
        <f>INDEX('WEG Motor'!$B$3:$AZ$55,
       MATCH(AM43,'WEG Motor'!$A$3:$A$55,0),
       MATCH(AN43,'WEG Motor'!$B$2:$AZ$2,0))%</f>
        <v>#N/A</v>
      </c>
      <c r="AP43" s="155">
        <v>0.92</v>
      </c>
      <c r="AQ43" s="155"/>
      <c r="AR43" s="156"/>
      <c r="AS43" s="157" t="e">
        <f>ROUND(((($BT$6*$BW$5*(C38*0.001)*D43)/1000)/AQ43), 2)</f>
        <v>#DIV/0!</v>
      </c>
      <c r="AT43" s="25" t="e">
        <f t="shared" si="58"/>
        <v>#DIV/0!</v>
      </c>
      <c r="AU43" s="240" t="e">
        <f t="shared" si="17"/>
        <v>#DIV/0!</v>
      </c>
      <c r="AV43" s="224"/>
      <c r="AW43" s="229"/>
      <c r="AX43" s="12"/>
      <c r="AY43" s="12"/>
      <c r="AZ43" s="158" t="e">
        <f>INDEX('WEG Motor'!$B$3:$AZ$55,
       MATCH(AX43,'WEG Motor'!$A$3:$A$55,0),
       MATCH(AY43,'WEG Motor'!$B$2:$AZ$2,0))%</f>
        <v>#N/A</v>
      </c>
      <c r="BA43" s="158">
        <v>0.92</v>
      </c>
      <c r="BB43" s="158"/>
      <c r="BC43" s="159"/>
      <c r="BD43" s="160" t="e">
        <f>ROUND(((($BT$6*$BW$5*(C38*0.001)*D43)/1000)/BB43), 2)</f>
        <v>#DIV/0!</v>
      </c>
      <c r="BE43" s="12" t="e">
        <f t="shared" si="59"/>
        <v>#DIV/0!</v>
      </c>
      <c r="BF43" s="241" t="e">
        <f t="shared" si="18"/>
        <v>#DIV/0!</v>
      </c>
      <c r="BG43" s="230"/>
      <c r="BH43" s="234"/>
      <c r="BI43" s="22"/>
      <c r="BJ43" s="22"/>
      <c r="BK43" s="161" t="e">
        <f>INDEX('WEG Motor'!$B$3:$AZ$55,
       MATCH(BI43,'WEG Motor'!$A$3:$A$55,0),
       MATCH(BJ43,'WEG Motor'!$B$2:$AZ$2,0))%</f>
        <v>#N/A</v>
      </c>
      <c r="BL43" s="161">
        <v>0.92</v>
      </c>
      <c r="BM43" s="161"/>
      <c r="BN43" s="162"/>
      <c r="BO43" s="163" t="e">
        <f>ROUND(((($BT$6*$BW$5*(C38*0.001)*D43)/1000)/BM43), 2)</f>
        <v>#DIV/0!</v>
      </c>
      <c r="BP43" s="22" t="e">
        <f t="shared" si="60"/>
        <v>#DIV/0!</v>
      </c>
      <c r="BQ43" s="242" t="e">
        <f t="shared" si="61"/>
        <v>#DIV/0!</v>
      </c>
      <c r="BR43" s="193"/>
    </row>
    <row r="44" spans="1:70" ht="15" thickBot="1" x14ac:dyDescent="0.35">
      <c r="A44" s="310"/>
      <c r="B44" s="310"/>
      <c r="C44" s="313"/>
      <c r="D44" s="165">
        <v>45</v>
      </c>
      <c r="E44" s="168"/>
      <c r="F44" s="169"/>
      <c r="G44" s="169"/>
      <c r="H44" s="170" t="e">
        <f>INDEX('WEG Motor'!$B$3:$AZ$55,
       MATCH(F44,'WEG Motor'!$A$3:$A$55,0),
       MATCH(G44,'WEG Motor'!$B$2:$AZ$2,0))%</f>
        <v>#N/A</v>
      </c>
      <c r="I44" s="170">
        <v>0.92</v>
      </c>
      <c r="J44" s="284"/>
      <c r="K44" s="171"/>
      <c r="L44" s="287" t="e">
        <f>ROUND(((($BT$6*$BW$5*(C38*0.001)*D44)/1000)/J44), 2)</f>
        <v>#DIV/0!</v>
      </c>
      <c r="M44" s="169" t="e">
        <f t="shared" si="55"/>
        <v>#DIV/0!</v>
      </c>
      <c r="N44" s="247" t="e">
        <f t="shared" si="14"/>
        <v>#DIV/0!</v>
      </c>
      <c r="O44" s="172"/>
      <c r="P44" s="213" t="s">
        <v>140</v>
      </c>
      <c r="Q44" s="194">
        <v>45</v>
      </c>
      <c r="R44" s="194" t="s">
        <v>35</v>
      </c>
      <c r="S44" s="195">
        <f>INDEX('WEG Motor'!$B$3:$AZ$55,
       MATCH(Q44,'WEG Motor'!$A$3:$A$55,0),
       MATCH(R44,'WEG Motor'!$B$2:$AZ$2,0))%</f>
        <v>0.94200000000000006</v>
      </c>
      <c r="T44" s="195">
        <v>0.92</v>
      </c>
      <c r="U44" s="195">
        <v>0.78210000000000002</v>
      </c>
      <c r="V44" s="196">
        <v>2.3719999999999999</v>
      </c>
      <c r="W44" s="140">
        <f>ROUND(((($BT$6*$BW$5*(C38*0.001)*D44)/1000)/U44), 2)</f>
        <v>33.86</v>
      </c>
      <c r="X44" s="194">
        <f t="shared" si="56"/>
        <v>35.94</v>
      </c>
      <c r="Y44" s="246">
        <f t="shared" si="15"/>
        <v>39.07</v>
      </c>
      <c r="Z44" s="214"/>
      <c r="AA44" s="219"/>
      <c r="AB44" s="197"/>
      <c r="AC44" s="197"/>
      <c r="AD44" s="198" t="e">
        <f>INDEX('WEG Motor'!$B$3:$AZ$55,
       MATCH(AB44,'WEG Motor'!$A$3:$A$55,0),
       MATCH(AC44,'WEG Motor'!$B$2:$AZ$2,0))%</f>
        <v>#N/A</v>
      </c>
      <c r="AE44" s="198">
        <v>0.92</v>
      </c>
      <c r="AF44" s="198"/>
      <c r="AG44" s="199"/>
      <c r="AH44" s="141" t="e">
        <f>ROUND(((($BT$6*$BW$5*(C38*0.001)*D44)/1000)/AF44), 2)</f>
        <v>#DIV/0!</v>
      </c>
      <c r="AI44" s="197" t="e">
        <f t="shared" si="57"/>
        <v>#DIV/0!</v>
      </c>
      <c r="AJ44" s="245" t="e">
        <f t="shared" si="16"/>
        <v>#DIV/0!</v>
      </c>
      <c r="AK44" s="220"/>
      <c r="AL44" s="225"/>
      <c r="AM44" s="200"/>
      <c r="AN44" s="200"/>
      <c r="AO44" s="201" t="e">
        <f>INDEX('WEG Motor'!$B$3:$AZ$55,
       MATCH(AM44,'WEG Motor'!$A$3:$A$55,0),
       MATCH(AN44,'WEG Motor'!$B$2:$AZ$2,0))%</f>
        <v>#N/A</v>
      </c>
      <c r="AP44" s="201">
        <v>0.92</v>
      </c>
      <c r="AQ44" s="201"/>
      <c r="AR44" s="202"/>
      <c r="AS44" s="142" t="e">
        <f>ROUND(((($BT$6*$BW$5*(C38*0.001)*D44)/1000)/AQ44), 2)</f>
        <v>#DIV/0!</v>
      </c>
      <c r="AT44" s="200" t="e">
        <f t="shared" si="58"/>
        <v>#DIV/0!</v>
      </c>
      <c r="AU44" s="244" t="e">
        <f t="shared" si="17"/>
        <v>#DIV/0!</v>
      </c>
      <c r="AV44" s="226"/>
      <c r="AW44" s="231"/>
      <c r="AX44" s="203"/>
      <c r="AY44" s="203"/>
      <c r="AZ44" s="204" t="e">
        <f>INDEX('WEG Motor'!$B$3:$AZ$55,
       MATCH(AX44,'WEG Motor'!$A$3:$A$55,0),
       MATCH(AY44,'WEG Motor'!$B$2:$AZ$2,0))%</f>
        <v>#N/A</v>
      </c>
      <c r="BA44" s="204">
        <v>0.92</v>
      </c>
      <c r="BB44" s="204"/>
      <c r="BC44" s="205"/>
      <c r="BD44" s="143" t="e">
        <f>ROUND(((($BT$6*$BW$5*(C38*0.001)*D44)/1000)/BB44), 2)</f>
        <v>#DIV/0!</v>
      </c>
      <c r="BE44" s="203" t="e">
        <f t="shared" si="59"/>
        <v>#DIV/0!</v>
      </c>
      <c r="BF44" s="243" t="e">
        <f t="shared" si="18"/>
        <v>#DIV/0!</v>
      </c>
      <c r="BG44" s="232"/>
      <c r="BH44" s="235"/>
      <c r="BI44" s="66"/>
      <c r="BJ44" s="66"/>
      <c r="BK44" s="206" t="e">
        <f>INDEX('WEG Motor'!$B$3:$AZ$55,
       MATCH(BI44,'WEG Motor'!$A$3:$A$55,0),
       MATCH(BJ44,'WEG Motor'!$B$2:$AZ$2,0))%</f>
        <v>#N/A</v>
      </c>
      <c r="BL44" s="206">
        <v>0.92</v>
      </c>
      <c r="BM44" s="206"/>
      <c r="BN44" s="207"/>
      <c r="BO44" s="144" t="e">
        <f>ROUND(((($BT$6*$BW$5*(C38*0.001)*D44)/1000)/BM44), 2)</f>
        <v>#DIV/0!</v>
      </c>
      <c r="BP44" s="292" t="e">
        <f t="shared" si="60"/>
        <v>#DIV/0!</v>
      </c>
      <c r="BQ44" s="293" t="e">
        <f t="shared" si="61"/>
        <v>#DIV/0!</v>
      </c>
      <c r="BR44" s="208"/>
    </row>
    <row r="45" spans="1:70" x14ac:dyDescent="0.3">
      <c r="A45" s="308">
        <v>6</v>
      </c>
      <c r="B45" s="308">
        <v>550</v>
      </c>
      <c r="C45" s="311">
        <f>ROUND((B45 * $BW$7 * 1000) / ($BT$6 * $BW$3 * $BW$4), 0)</f>
        <v>66</v>
      </c>
      <c r="D45" s="145">
        <v>15</v>
      </c>
      <c r="E45" s="173"/>
      <c r="F45" s="53"/>
      <c r="G45" s="53"/>
      <c r="H45" s="174" t="e">
        <f>INDEX('WEG Motor'!$B$3:$AZ$55,
       MATCH(F45,'WEG Motor'!$A$3:$A$55,0),
       MATCH(G45,'WEG Motor'!$B$2:$AZ$2,0))%</f>
        <v>#N/A</v>
      </c>
      <c r="I45" s="174">
        <v>0.92</v>
      </c>
      <c r="J45" s="282"/>
      <c r="K45" s="175"/>
      <c r="L45" s="285" t="e">
        <f t="shared" ref="L45" si="63">ROUND(((($BT$6*$BW$5*(C45*0.001)*D45)/1000)/J45), 2)</f>
        <v>#DIV/0!</v>
      </c>
      <c r="M45" s="53" t="e">
        <f>ROUND((L45/H45),2)</f>
        <v>#DIV/0!</v>
      </c>
      <c r="N45" s="236" t="e">
        <f t="shared" si="14"/>
        <v>#DIV/0!</v>
      </c>
      <c r="O45" s="176"/>
      <c r="P45" s="209" t="s">
        <v>141</v>
      </c>
      <c r="Q45" s="177">
        <v>15</v>
      </c>
      <c r="R45" s="177" t="s">
        <v>35</v>
      </c>
      <c r="S45" s="178">
        <f>INDEX('WEG Motor'!$B$3:$AZ$55,
       MATCH(Q45,'WEG Motor'!$A$3:$A$55,0),
       MATCH(R45,'WEG Motor'!$B$2:$AZ$2,0))%</f>
        <v>0.92099999999999993</v>
      </c>
      <c r="T45" s="178">
        <v>0.92</v>
      </c>
      <c r="U45" s="178">
        <v>0.86770000000000003</v>
      </c>
      <c r="V45" s="179">
        <v>2.778</v>
      </c>
      <c r="W45" s="297">
        <f>ROUND(((($BT$6*$BW$5*(C45*0.001)*D45)/1000)/U45), 2)</f>
        <v>11.19</v>
      </c>
      <c r="X45" s="177">
        <f>ROUND((W45/S45),2)</f>
        <v>12.15</v>
      </c>
      <c r="Y45" s="276">
        <f t="shared" si="15"/>
        <v>13.21</v>
      </c>
      <c r="Z45" s="210"/>
      <c r="AA45" s="215"/>
      <c r="AB45" s="180"/>
      <c r="AC45" s="180"/>
      <c r="AD45" s="181" t="e">
        <f>INDEX('WEG Motor'!$B$3:$AZ$55,
       MATCH(AB45,'WEG Motor'!$A$3:$A$55,0),
       MATCH(AC45,'WEG Motor'!$B$2:$AZ$2,0))%</f>
        <v>#N/A</v>
      </c>
      <c r="AE45" s="181">
        <v>0.92</v>
      </c>
      <c r="AF45" s="181"/>
      <c r="AG45" s="182"/>
      <c r="AH45" s="296" t="e">
        <f>ROUND(((($BT$6*$BW$5*(C45*0.001)*D45)/1000)/AF45), 2)</f>
        <v>#DIV/0!</v>
      </c>
      <c r="AI45" s="180" t="e">
        <f>ROUND((AH45/AD45),2)</f>
        <v>#DIV/0!</v>
      </c>
      <c r="AJ45" s="277" t="e">
        <f t="shared" si="16"/>
        <v>#DIV/0!</v>
      </c>
      <c r="AK45" s="216"/>
      <c r="AL45" s="221"/>
      <c r="AM45" s="183"/>
      <c r="AN45" s="183"/>
      <c r="AO45" s="184" t="e">
        <f>INDEX('WEG Motor'!$B$3:$AZ$55,
       MATCH(AM45,'WEG Motor'!$A$3:$A$55,0),
       MATCH(AN45,'WEG Motor'!$B$2:$AZ$2,0))%</f>
        <v>#N/A</v>
      </c>
      <c r="AP45" s="184">
        <v>0.92</v>
      </c>
      <c r="AQ45" s="184"/>
      <c r="AR45" s="185"/>
      <c r="AS45" s="295" t="e">
        <f>ROUND(((($BT$6*$BW$5*(C45*0.001)*D45)/1000)/AQ45), 2)</f>
        <v>#DIV/0!</v>
      </c>
      <c r="AT45" s="183" t="e">
        <f>ROUND((AS45/AO45),2)</f>
        <v>#DIV/0!</v>
      </c>
      <c r="AU45" s="278" t="e">
        <f t="shared" si="17"/>
        <v>#DIV/0!</v>
      </c>
      <c r="AV45" s="222"/>
      <c r="AW45" s="227"/>
      <c r="AX45" s="186"/>
      <c r="AY45" s="186"/>
      <c r="AZ45" s="187" t="e">
        <f>INDEX('WEG Motor'!$B$3:$AZ$55,
       MATCH(AX45,'WEG Motor'!$A$3:$A$55,0),
       MATCH(AY45,'WEG Motor'!$B$2:$AZ$2,0))%</f>
        <v>#N/A</v>
      </c>
      <c r="BA45" s="187">
        <v>0.92</v>
      </c>
      <c r="BB45" s="187"/>
      <c r="BC45" s="188"/>
      <c r="BD45" s="294" t="e">
        <f>ROUND(((($BT$6*$BW$5*(C45*0.001)*D45)/1000)/BB45), 2)</f>
        <v>#DIV/0!</v>
      </c>
      <c r="BE45" s="186" t="e">
        <f>ROUND((BD45/AZ45),2)</f>
        <v>#DIV/0!</v>
      </c>
      <c r="BF45" s="279" t="e">
        <f t="shared" si="18"/>
        <v>#DIV/0!</v>
      </c>
      <c r="BG45" s="228"/>
      <c r="BH45" s="233"/>
      <c r="BI45" s="189"/>
      <c r="BJ45" s="189"/>
      <c r="BK45" s="190" t="e">
        <f>INDEX('WEG Motor'!$B$3:$AZ$55,
       MATCH(BI45,'WEG Motor'!$A$3:$A$55,0),
       MATCH(BJ45,'WEG Motor'!$B$2:$AZ$2,0))%</f>
        <v>#N/A</v>
      </c>
      <c r="BL45" s="190">
        <v>0.92</v>
      </c>
      <c r="BM45" s="190"/>
      <c r="BN45" s="191"/>
      <c r="BO45" s="289" t="e">
        <f>ROUND(((($BT$6*$BW$5*(C45*0.001)*D45)/1000)/BM45), 2)</f>
        <v>#DIV/0!</v>
      </c>
      <c r="BP45" s="290" t="e">
        <f>ROUND((BO45/BK45),2)</f>
        <v>#DIV/0!</v>
      </c>
      <c r="BQ45" s="291" t="e">
        <f>ROUND((BP45/BL45), 2)</f>
        <v>#DIV/0!</v>
      </c>
      <c r="BR45" s="192"/>
    </row>
    <row r="46" spans="1:70" x14ac:dyDescent="0.3">
      <c r="A46" s="309"/>
      <c r="B46" s="309"/>
      <c r="C46" s="312"/>
      <c r="D46" s="164">
        <v>20</v>
      </c>
      <c r="E46" s="166"/>
      <c r="F46" s="146"/>
      <c r="G46" s="146"/>
      <c r="H46" s="147" t="e">
        <f>INDEX('WEG Motor'!$B$3:$AZ$55,
       MATCH(F46,'WEG Motor'!$A$3:$A$55,0),
       MATCH(G46,'WEG Motor'!$B$2:$AZ$2,0))%</f>
        <v>#N/A</v>
      </c>
      <c r="I46" s="147">
        <v>0.92</v>
      </c>
      <c r="J46" s="283"/>
      <c r="K46" s="148"/>
      <c r="L46" s="286" t="e">
        <f>ROUND(((($BT$6*$BW$5*(C45*0.001)*D46)/1000)/J46), 2)</f>
        <v>#DIV/0!</v>
      </c>
      <c r="M46" s="146" t="e">
        <f t="shared" ref="M46:M51" si="64">ROUND((L46/H46),2)</f>
        <v>#DIV/0!</v>
      </c>
      <c r="N46" s="237" t="e">
        <f t="shared" si="14"/>
        <v>#DIV/0!</v>
      </c>
      <c r="O46" s="167"/>
      <c r="P46" s="211" t="s">
        <v>50</v>
      </c>
      <c r="Q46" s="23">
        <v>18.5</v>
      </c>
      <c r="R46" s="23" t="s">
        <v>35</v>
      </c>
      <c r="S46" s="149">
        <f>INDEX('WEG Motor'!$B$3:$AZ$55,
       MATCH(Q46,'WEG Motor'!$A$3:$A$55,0),
       MATCH(R46,'WEG Motor'!$B$2:$AZ$2,0))%</f>
        <v>0.92599999999999993</v>
      </c>
      <c r="T46" s="149">
        <v>0.92</v>
      </c>
      <c r="U46" s="149">
        <v>0.86129999999999995</v>
      </c>
      <c r="V46" s="150">
        <v>2.6680000000000001</v>
      </c>
      <c r="W46" s="151">
        <f>ROUND(((($BT$6*$BW$5*(C45*0.001)*D46)/1000)/U46), 2)</f>
        <v>15.03</v>
      </c>
      <c r="X46" s="23">
        <f t="shared" ref="X46:X51" si="65">ROUND((W46/S46),2)</f>
        <v>16.23</v>
      </c>
      <c r="Y46" s="238">
        <f t="shared" si="15"/>
        <v>17.64</v>
      </c>
      <c r="Z46" s="212"/>
      <c r="AA46" s="217"/>
      <c r="AB46" s="24"/>
      <c r="AC46" s="24"/>
      <c r="AD46" s="152" t="e">
        <f>INDEX('WEG Motor'!$B$3:$AZ$55,
       MATCH(AB46,'WEG Motor'!$A$3:$A$55,0),
       MATCH(AC46,'WEG Motor'!$B$2:$AZ$2,0))%</f>
        <v>#N/A</v>
      </c>
      <c r="AE46" s="152">
        <v>0.92</v>
      </c>
      <c r="AF46" s="152"/>
      <c r="AG46" s="153"/>
      <c r="AH46" s="154" t="e">
        <f>ROUND(((($BT$6*$BW$5*(C45*0.001)*D46)/1000)/AF46), 2)</f>
        <v>#DIV/0!</v>
      </c>
      <c r="AI46" s="24" t="e">
        <f t="shared" ref="AI46:AI51" si="66">ROUND((AH46/AD46),2)</f>
        <v>#DIV/0!</v>
      </c>
      <c r="AJ46" s="239" t="e">
        <f t="shared" si="16"/>
        <v>#DIV/0!</v>
      </c>
      <c r="AK46" s="218"/>
      <c r="AL46" s="223"/>
      <c r="AM46" s="25"/>
      <c r="AN46" s="25"/>
      <c r="AO46" s="155" t="e">
        <f>INDEX('WEG Motor'!$B$3:$AZ$55,
       MATCH(AM46,'WEG Motor'!$A$3:$A$55,0),
       MATCH(AN46,'WEG Motor'!$B$2:$AZ$2,0))%</f>
        <v>#N/A</v>
      </c>
      <c r="AP46" s="155">
        <v>0.92</v>
      </c>
      <c r="AQ46" s="155"/>
      <c r="AR46" s="156"/>
      <c r="AS46" s="157" t="e">
        <f>ROUND(((($BT$6*$BW$5*(C45*0.001)*D46)/1000)/AQ46), 2)</f>
        <v>#DIV/0!</v>
      </c>
      <c r="AT46" s="25" t="e">
        <f t="shared" ref="AT46:AT51" si="67">ROUND((AS46/AO46),2)</f>
        <v>#DIV/0!</v>
      </c>
      <c r="AU46" s="240" t="e">
        <f t="shared" si="17"/>
        <v>#DIV/0!</v>
      </c>
      <c r="AV46" s="224"/>
      <c r="AW46" s="229"/>
      <c r="AX46" s="12"/>
      <c r="AY46" s="12"/>
      <c r="AZ46" s="158" t="e">
        <f>INDEX('WEG Motor'!$B$3:$AZ$55,
       MATCH(AX46,'WEG Motor'!$A$3:$A$55,0),
       MATCH(AY46,'WEG Motor'!$B$2:$AZ$2,0))%</f>
        <v>#N/A</v>
      </c>
      <c r="BA46" s="158">
        <v>0.92</v>
      </c>
      <c r="BB46" s="158"/>
      <c r="BC46" s="159"/>
      <c r="BD46" s="160" t="e">
        <f>ROUND(((($BT$6*$BW$5*(C45*0.001)*D46)/1000)/BB46), 2)</f>
        <v>#DIV/0!</v>
      </c>
      <c r="BE46" s="12" t="e">
        <f t="shared" ref="BE46:BE51" si="68">ROUND((BD46/AZ46),2)</f>
        <v>#DIV/0!</v>
      </c>
      <c r="BF46" s="241" t="e">
        <f t="shared" si="18"/>
        <v>#DIV/0!</v>
      </c>
      <c r="BG46" s="230"/>
      <c r="BH46" s="234"/>
      <c r="BI46" s="22"/>
      <c r="BJ46" s="22"/>
      <c r="BK46" s="161" t="e">
        <f>INDEX('WEG Motor'!$B$3:$AZ$55,
       MATCH(BI46,'WEG Motor'!$A$3:$A$55,0),
       MATCH(BJ46,'WEG Motor'!$B$2:$AZ$2,0))%</f>
        <v>#N/A</v>
      </c>
      <c r="BL46" s="161">
        <v>0.92</v>
      </c>
      <c r="BM46" s="161"/>
      <c r="BN46" s="162"/>
      <c r="BO46" s="163" t="e">
        <f>ROUND(((($BT$6*$BW$5*(C45*0.001)*D46)/1000)/BM46), 2)</f>
        <v>#DIV/0!</v>
      </c>
      <c r="BP46" s="22" t="e">
        <f t="shared" ref="BP46:BP51" si="69">ROUND((BO46/BK46),2)</f>
        <v>#DIV/0!</v>
      </c>
      <c r="BQ46" s="242" t="e">
        <f t="shared" ref="BQ46:BQ51" si="70">ROUND((BP46/BL46), 2)</f>
        <v>#DIV/0!</v>
      </c>
      <c r="BR46" s="193"/>
    </row>
    <row r="47" spans="1:70" x14ac:dyDescent="0.3">
      <c r="A47" s="309"/>
      <c r="B47" s="309"/>
      <c r="C47" s="312"/>
      <c r="D47" s="164">
        <v>25</v>
      </c>
      <c r="E47" s="166"/>
      <c r="F47" s="146"/>
      <c r="G47" s="146"/>
      <c r="H47" s="147" t="e">
        <f>INDEX('WEG Motor'!$B$3:$AZ$55,
       MATCH(F47,'WEG Motor'!$A$3:$A$55,0),
       MATCH(G47,'WEG Motor'!$B$2:$AZ$2,0))%</f>
        <v>#N/A</v>
      </c>
      <c r="I47" s="147">
        <v>0.92</v>
      </c>
      <c r="J47" s="283"/>
      <c r="K47" s="148"/>
      <c r="L47" s="286" t="e">
        <f>ROUND(((($BT$6*$BW$5*(C45*0.001)*D47)/1000)/J47), 2)</f>
        <v>#DIV/0!</v>
      </c>
      <c r="M47" s="146" t="e">
        <f t="shared" si="64"/>
        <v>#DIV/0!</v>
      </c>
      <c r="N47" s="237" t="e">
        <f t="shared" si="14"/>
        <v>#DIV/0!</v>
      </c>
      <c r="O47" s="167"/>
      <c r="P47" s="211" t="s">
        <v>59</v>
      </c>
      <c r="Q47" s="23">
        <v>22</v>
      </c>
      <c r="R47" s="23" t="s">
        <v>35</v>
      </c>
      <c r="S47" s="149">
        <f>INDEX('WEG Motor'!$B$3:$AZ$55,
       MATCH(Q47,'WEG Motor'!$A$3:$A$55,0),
       MATCH(R47,'WEG Motor'!$B$2:$AZ$2,0))%</f>
        <v>0.93099999999999994</v>
      </c>
      <c r="T47" s="149">
        <v>0.92</v>
      </c>
      <c r="U47" s="149">
        <v>0.83299999999999996</v>
      </c>
      <c r="V47" s="150">
        <v>2.5819999999999999</v>
      </c>
      <c r="W47" s="151">
        <f>ROUND(((($BT$6*$BW$5*(C45*0.001)*D47)/1000)/U47), 2)</f>
        <v>19.43</v>
      </c>
      <c r="X47" s="23">
        <f t="shared" si="65"/>
        <v>20.87</v>
      </c>
      <c r="Y47" s="238">
        <f t="shared" si="15"/>
        <v>22.68</v>
      </c>
      <c r="Z47" s="212"/>
      <c r="AA47" s="217"/>
      <c r="AB47" s="24"/>
      <c r="AC47" s="24"/>
      <c r="AD47" s="152" t="e">
        <f>INDEX('WEG Motor'!$B$3:$AZ$55,
       MATCH(AB47,'WEG Motor'!$A$3:$A$55,0),
       MATCH(AC47,'WEG Motor'!$B$2:$AZ$2,0))%</f>
        <v>#N/A</v>
      </c>
      <c r="AE47" s="152">
        <v>0.92</v>
      </c>
      <c r="AF47" s="152"/>
      <c r="AG47" s="153"/>
      <c r="AH47" s="154" t="e">
        <f>ROUND(((($BT$6*$BW$5*(C45*0.001)*D47)/1000)/AF47), 2)</f>
        <v>#DIV/0!</v>
      </c>
      <c r="AI47" s="24" t="e">
        <f t="shared" si="66"/>
        <v>#DIV/0!</v>
      </c>
      <c r="AJ47" s="239" t="e">
        <f t="shared" si="16"/>
        <v>#DIV/0!</v>
      </c>
      <c r="AK47" s="218"/>
      <c r="AL47" s="223"/>
      <c r="AM47" s="25"/>
      <c r="AN47" s="25"/>
      <c r="AO47" s="155" t="e">
        <f>INDEX('WEG Motor'!$B$3:$AZ$55,
       MATCH(AM47,'WEG Motor'!$A$3:$A$55,0),
       MATCH(AN47,'WEG Motor'!$B$2:$AZ$2,0))%</f>
        <v>#N/A</v>
      </c>
      <c r="AP47" s="155">
        <v>0.92</v>
      </c>
      <c r="AQ47" s="155"/>
      <c r="AR47" s="156"/>
      <c r="AS47" s="157" t="e">
        <f>ROUND(((($BT$6*$BW$5*(C45*0.001)*D47)/1000)/AQ47), 2)</f>
        <v>#DIV/0!</v>
      </c>
      <c r="AT47" s="25" t="e">
        <f t="shared" si="67"/>
        <v>#DIV/0!</v>
      </c>
      <c r="AU47" s="240" t="e">
        <f t="shared" si="17"/>
        <v>#DIV/0!</v>
      </c>
      <c r="AV47" s="224"/>
      <c r="AW47" s="229"/>
      <c r="AX47" s="12"/>
      <c r="AY47" s="12"/>
      <c r="AZ47" s="158" t="e">
        <f>INDEX('WEG Motor'!$B$3:$AZ$55,
       MATCH(AX47,'WEG Motor'!$A$3:$A$55,0),
       MATCH(AY47,'WEG Motor'!$B$2:$AZ$2,0))%</f>
        <v>#N/A</v>
      </c>
      <c r="BA47" s="158">
        <v>0.92</v>
      </c>
      <c r="BB47" s="158"/>
      <c r="BC47" s="159"/>
      <c r="BD47" s="160" t="e">
        <f>ROUND(((($BT$6*$BW$5*(C45*0.001)*D47)/1000)/BB47), 2)</f>
        <v>#DIV/0!</v>
      </c>
      <c r="BE47" s="12" t="e">
        <f t="shared" si="68"/>
        <v>#DIV/0!</v>
      </c>
      <c r="BF47" s="241" t="e">
        <f t="shared" si="18"/>
        <v>#DIV/0!</v>
      </c>
      <c r="BG47" s="230"/>
      <c r="BH47" s="234"/>
      <c r="BI47" s="22"/>
      <c r="BJ47" s="22"/>
      <c r="BK47" s="161" t="e">
        <f>INDEX('WEG Motor'!$B$3:$AZ$55,
       MATCH(BI47,'WEG Motor'!$A$3:$A$55,0),
       MATCH(BJ47,'WEG Motor'!$B$2:$AZ$2,0))%</f>
        <v>#N/A</v>
      </c>
      <c r="BL47" s="161">
        <v>0.92</v>
      </c>
      <c r="BM47" s="161"/>
      <c r="BN47" s="162"/>
      <c r="BO47" s="163" t="e">
        <f>ROUND(((($BT$6*$BW$5*(C45*0.001)*D47)/1000)/BM47), 2)</f>
        <v>#DIV/0!</v>
      </c>
      <c r="BP47" s="22" t="e">
        <f t="shared" si="69"/>
        <v>#DIV/0!</v>
      </c>
      <c r="BQ47" s="242" t="e">
        <f t="shared" si="70"/>
        <v>#DIV/0!</v>
      </c>
      <c r="BR47" s="193"/>
    </row>
    <row r="48" spans="1:70" x14ac:dyDescent="0.3">
      <c r="A48" s="309"/>
      <c r="B48" s="309"/>
      <c r="C48" s="312"/>
      <c r="D48" s="164">
        <v>30</v>
      </c>
      <c r="E48" s="166"/>
      <c r="F48" s="146"/>
      <c r="G48" s="146"/>
      <c r="H48" s="147" t="e">
        <f>INDEX('WEG Motor'!$B$3:$AZ$55,
       MATCH(F48,'WEG Motor'!$A$3:$A$55,0),
       MATCH(G48,'WEG Motor'!$B$2:$AZ$2,0))%</f>
        <v>#N/A</v>
      </c>
      <c r="I48" s="147">
        <v>0.92</v>
      </c>
      <c r="J48" s="283"/>
      <c r="K48" s="148"/>
      <c r="L48" s="286" t="e">
        <f>ROUND(((($BT$6*$BW$5*(C45*0.001)*D48)/1000)/J48), 2)</f>
        <v>#DIV/0!</v>
      </c>
      <c r="M48" s="146" t="e">
        <f t="shared" si="64"/>
        <v>#DIV/0!</v>
      </c>
      <c r="N48" s="237" t="e">
        <f t="shared" si="14"/>
        <v>#DIV/0!</v>
      </c>
      <c r="O48" s="167"/>
      <c r="P48" s="211" t="s">
        <v>138</v>
      </c>
      <c r="Q48" s="23">
        <v>30</v>
      </c>
      <c r="R48" s="23" t="s">
        <v>35</v>
      </c>
      <c r="S48" s="149">
        <f>INDEX('WEG Motor'!$B$3:$AZ$55,
       MATCH(Q48,'WEG Motor'!$A$3:$A$55,0),
       MATCH(R48,'WEG Motor'!$B$2:$AZ$2,0))%</f>
        <v>0.93599999999999994</v>
      </c>
      <c r="T48" s="149">
        <v>0.92</v>
      </c>
      <c r="U48" s="149">
        <v>0.8407</v>
      </c>
      <c r="V48" s="150">
        <v>2.5920000000000001</v>
      </c>
      <c r="W48" s="151">
        <f>ROUND(((($BT$6*$BW$5*(C45*0.001)*D48)/1000)/U48), 2)</f>
        <v>23.1</v>
      </c>
      <c r="X48" s="23">
        <f t="shared" si="65"/>
        <v>24.68</v>
      </c>
      <c r="Y48" s="238">
        <f t="shared" si="15"/>
        <v>26.83</v>
      </c>
      <c r="Z48" s="212"/>
      <c r="AA48" s="217"/>
      <c r="AB48" s="24"/>
      <c r="AC48" s="24"/>
      <c r="AD48" s="152" t="e">
        <f>INDEX('WEG Motor'!$B$3:$AZ$55,
       MATCH(AB48,'WEG Motor'!$A$3:$A$55,0),
       MATCH(AC48,'WEG Motor'!$B$2:$AZ$2,0))%</f>
        <v>#N/A</v>
      </c>
      <c r="AE48" s="152">
        <v>0.92</v>
      </c>
      <c r="AF48" s="152"/>
      <c r="AG48" s="153"/>
      <c r="AH48" s="154" t="e">
        <f>ROUND(((($BT$6*$BW$5*(C45*0.001)*D48)/1000)/AF48), 2)</f>
        <v>#DIV/0!</v>
      </c>
      <c r="AI48" s="24" t="e">
        <f t="shared" si="66"/>
        <v>#DIV/0!</v>
      </c>
      <c r="AJ48" s="239" t="e">
        <f t="shared" si="16"/>
        <v>#DIV/0!</v>
      </c>
      <c r="AK48" s="218"/>
      <c r="AL48" s="223"/>
      <c r="AM48" s="25"/>
      <c r="AN48" s="25"/>
      <c r="AO48" s="155" t="e">
        <f>INDEX('WEG Motor'!$B$3:$AZ$55,
       MATCH(AM48,'WEG Motor'!$A$3:$A$55,0),
       MATCH(AN48,'WEG Motor'!$B$2:$AZ$2,0))%</f>
        <v>#N/A</v>
      </c>
      <c r="AP48" s="155">
        <v>0.92</v>
      </c>
      <c r="AQ48" s="155"/>
      <c r="AR48" s="156"/>
      <c r="AS48" s="157" t="e">
        <f>ROUND(((($BT$6*$BW$5*(C45*0.001)*D48)/1000)/AQ48), 2)</f>
        <v>#DIV/0!</v>
      </c>
      <c r="AT48" s="25" t="e">
        <f t="shared" si="67"/>
        <v>#DIV/0!</v>
      </c>
      <c r="AU48" s="240" t="e">
        <f t="shared" si="17"/>
        <v>#DIV/0!</v>
      </c>
      <c r="AV48" s="224"/>
      <c r="AW48" s="229"/>
      <c r="AX48" s="12"/>
      <c r="AY48" s="12"/>
      <c r="AZ48" s="158" t="e">
        <f>INDEX('WEG Motor'!$B$3:$AZ$55,
       MATCH(AX48,'WEG Motor'!$A$3:$A$55,0),
       MATCH(AY48,'WEG Motor'!$B$2:$AZ$2,0))%</f>
        <v>#N/A</v>
      </c>
      <c r="BA48" s="158">
        <v>0.92</v>
      </c>
      <c r="BB48" s="158"/>
      <c r="BC48" s="159"/>
      <c r="BD48" s="160" t="e">
        <f>ROUND(((($BT$6*$BW$5*(C45*0.001)*D48)/1000)/BB48), 2)</f>
        <v>#DIV/0!</v>
      </c>
      <c r="BE48" s="12" t="e">
        <f t="shared" si="68"/>
        <v>#DIV/0!</v>
      </c>
      <c r="BF48" s="241" t="e">
        <f t="shared" si="18"/>
        <v>#DIV/0!</v>
      </c>
      <c r="BG48" s="230"/>
      <c r="BH48" s="234"/>
      <c r="BI48" s="22"/>
      <c r="BJ48" s="22"/>
      <c r="BK48" s="161" t="e">
        <f>INDEX('WEG Motor'!$B$3:$AZ$55,
       MATCH(BI48,'WEG Motor'!$A$3:$A$55,0),
       MATCH(BJ48,'WEG Motor'!$B$2:$AZ$2,0))%</f>
        <v>#N/A</v>
      </c>
      <c r="BL48" s="161">
        <v>0.92</v>
      </c>
      <c r="BM48" s="161"/>
      <c r="BN48" s="162"/>
      <c r="BO48" s="163" t="e">
        <f>ROUND(((($BT$6*$BW$5*(C45*0.001)*D48)/1000)/BM48), 2)</f>
        <v>#DIV/0!</v>
      </c>
      <c r="BP48" s="22" t="e">
        <f t="shared" si="69"/>
        <v>#DIV/0!</v>
      </c>
      <c r="BQ48" s="242" t="e">
        <f t="shared" si="70"/>
        <v>#DIV/0!</v>
      </c>
      <c r="BR48" s="193"/>
    </row>
    <row r="49" spans="1:70" x14ac:dyDescent="0.3">
      <c r="A49" s="309"/>
      <c r="B49" s="309"/>
      <c r="C49" s="312"/>
      <c r="D49" s="164">
        <v>35</v>
      </c>
      <c r="E49" s="166"/>
      <c r="F49" s="146"/>
      <c r="G49" s="146"/>
      <c r="H49" s="147" t="e">
        <f>INDEX('WEG Motor'!$B$3:$AZ$55,
       MATCH(F49,'WEG Motor'!$A$3:$A$55,0),
       MATCH(G49,'WEG Motor'!$B$2:$AZ$2,0))%</f>
        <v>#N/A</v>
      </c>
      <c r="I49" s="147">
        <v>0.92</v>
      </c>
      <c r="J49" s="283"/>
      <c r="K49" s="148"/>
      <c r="L49" s="286" t="e">
        <f t="shared" ref="L49" si="71">ROUND(((($BT$6*$BW$5*(C49*0.001)*D49)/1000)/J49), 2)</f>
        <v>#DIV/0!</v>
      </c>
      <c r="M49" s="146" t="e">
        <f t="shared" si="64"/>
        <v>#DIV/0!</v>
      </c>
      <c r="N49" s="237" t="e">
        <f t="shared" si="14"/>
        <v>#DIV/0!</v>
      </c>
      <c r="O49" s="167"/>
      <c r="P49" s="211" t="s">
        <v>138</v>
      </c>
      <c r="Q49" s="23">
        <v>30</v>
      </c>
      <c r="R49" s="23" t="s">
        <v>35</v>
      </c>
      <c r="S49" s="149">
        <f>INDEX('WEG Motor'!$B$3:$AZ$55,
       MATCH(Q49,'WEG Motor'!$A$3:$A$55,0),
       MATCH(R49,'WEG Motor'!$B$2:$AZ$2,0))%</f>
        <v>0.93599999999999994</v>
      </c>
      <c r="T49" s="149">
        <v>0.92</v>
      </c>
      <c r="U49" s="149">
        <v>0.83720000000000006</v>
      </c>
      <c r="V49" s="150">
        <v>2.5790000000000002</v>
      </c>
      <c r="W49" s="151">
        <f>ROUND(((($BT$6*$BW$5*(C45*0.001)*D49)/1000)/U49), 2)</f>
        <v>27.06</v>
      </c>
      <c r="X49" s="23">
        <f t="shared" si="65"/>
        <v>28.91</v>
      </c>
      <c r="Y49" s="238">
        <f t="shared" si="15"/>
        <v>31.42</v>
      </c>
      <c r="Z49" s="212"/>
      <c r="AA49" s="217"/>
      <c r="AB49" s="24"/>
      <c r="AC49" s="24"/>
      <c r="AD49" s="152" t="e">
        <f>INDEX('WEG Motor'!$B$3:$AZ$55,
       MATCH(AB49,'WEG Motor'!$A$3:$A$55,0),
       MATCH(AC49,'WEG Motor'!$B$2:$AZ$2,0))%</f>
        <v>#N/A</v>
      </c>
      <c r="AE49" s="152">
        <v>0.92</v>
      </c>
      <c r="AF49" s="152"/>
      <c r="AG49" s="153"/>
      <c r="AH49" s="154" t="e">
        <f>ROUND(((($BT$6*$BW$5*(C45*0.001)*D49)/1000)/AF49), 2)</f>
        <v>#DIV/0!</v>
      </c>
      <c r="AI49" s="24" t="e">
        <f t="shared" si="66"/>
        <v>#DIV/0!</v>
      </c>
      <c r="AJ49" s="239" t="e">
        <f t="shared" si="16"/>
        <v>#DIV/0!</v>
      </c>
      <c r="AK49" s="218"/>
      <c r="AL49" s="223"/>
      <c r="AM49" s="25"/>
      <c r="AN49" s="25"/>
      <c r="AO49" s="155" t="e">
        <f>INDEX('WEG Motor'!$B$3:$AZ$55,
       MATCH(AM49,'WEG Motor'!$A$3:$A$55,0),
       MATCH(AN49,'WEG Motor'!$B$2:$AZ$2,0))%</f>
        <v>#N/A</v>
      </c>
      <c r="AP49" s="155">
        <v>0.92</v>
      </c>
      <c r="AQ49" s="155"/>
      <c r="AR49" s="156"/>
      <c r="AS49" s="157" t="e">
        <f>ROUND(((($BT$6*$BW$5*(C45*0.001)*D49)/1000)/AQ49), 2)</f>
        <v>#DIV/0!</v>
      </c>
      <c r="AT49" s="25" t="e">
        <f t="shared" si="67"/>
        <v>#DIV/0!</v>
      </c>
      <c r="AU49" s="240" t="e">
        <f t="shared" si="17"/>
        <v>#DIV/0!</v>
      </c>
      <c r="AV49" s="224"/>
      <c r="AW49" s="229"/>
      <c r="AX49" s="12"/>
      <c r="AY49" s="12"/>
      <c r="AZ49" s="158" t="e">
        <f>INDEX('WEG Motor'!$B$3:$AZ$55,
       MATCH(AX49,'WEG Motor'!$A$3:$A$55,0),
       MATCH(AY49,'WEG Motor'!$B$2:$AZ$2,0))%</f>
        <v>#N/A</v>
      </c>
      <c r="BA49" s="158">
        <v>0.92</v>
      </c>
      <c r="BB49" s="158"/>
      <c r="BC49" s="159"/>
      <c r="BD49" s="160" t="e">
        <f>ROUND(((($BT$6*$BW$5*(C45*0.001)*D49)/1000)/BB49), 2)</f>
        <v>#DIV/0!</v>
      </c>
      <c r="BE49" s="12" t="e">
        <f t="shared" si="68"/>
        <v>#DIV/0!</v>
      </c>
      <c r="BF49" s="241" t="e">
        <f t="shared" si="18"/>
        <v>#DIV/0!</v>
      </c>
      <c r="BG49" s="230"/>
      <c r="BH49" s="234"/>
      <c r="BI49" s="22"/>
      <c r="BJ49" s="22"/>
      <c r="BK49" s="161" t="e">
        <f>INDEX('WEG Motor'!$B$3:$AZ$55,
       MATCH(BI49,'WEG Motor'!$A$3:$A$55,0),
       MATCH(BJ49,'WEG Motor'!$B$2:$AZ$2,0))%</f>
        <v>#N/A</v>
      </c>
      <c r="BL49" s="161">
        <v>0.92</v>
      </c>
      <c r="BM49" s="161"/>
      <c r="BN49" s="162"/>
      <c r="BO49" s="163" t="e">
        <f>ROUND(((($BT$6*$BW$5*(C45*0.001)*D49)/1000)/BM49), 2)</f>
        <v>#DIV/0!</v>
      </c>
      <c r="BP49" s="22" t="e">
        <f t="shared" si="69"/>
        <v>#DIV/0!</v>
      </c>
      <c r="BQ49" s="242" t="e">
        <f t="shared" si="70"/>
        <v>#DIV/0!</v>
      </c>
      <c r="BR49" s="193"/>
    </row>
    <row r="50" spans="1:70" x14ac:dyDescent="0.3">
      <c r="A50" s="309"/>
      <c r="B50" s="309"/>
      <c r="C50" s="312"/>
      <c r="D50" s="164">
        <v>40</v>
      </c>
      <c r="E50" s="166"/>
      <c r="F50" s="146"/>
      <c r="G50" s="146"/>
      <c r="H50" s="147" t="e">
        <f>INDEX('WEG Motor'!$B$3:$AZ$55,
       MATCH(F50,'WEG Motor'!$A$3:$A$55,0),
       MATCH(G50,'WEG Motor'!$B$2:$AZ$2,0))%</f>
        <v>#N/A</v>
      </c>
      <c r="I50" s="147">
        <v>0.92</v>
      </c>
      <c r="J50" s="283"/>
      <c r="K50" s="148"/>
      <c r="L50" s="286" t="e">
        <f>ROUND(((($BT$6*$BW$5*(C45*0.001)*D50)/1000)/J50), 2)</f>
        <v>#DIV/0!</v>
      </c>
      <c r="M50" s="146" t="e">
        <f t="shared" si="64"/>
        <v>#DIV/0!</v>
      </c>
      <c r="N50" s="237" t="e">
        <f t="shared" si="14"/>
        <v>#DIV/0!</v>
      </c>
      <c r="O50" s="167"/>
      <c r="P50" s="211" t="s">
        <v>139</v>
      </c>
      <c r="Q50" s="23">
        <v>37</v>
      </c>
      <c r="R50" s="23" t="s">
        <v>35</v>
      </c>
      <c r="S50" s="149">
        <f>INDEX('WEG Motor'!$B$3:$AZ$55,
       MATCH(Q50,'WEG Motor'!$A$3:$A$55,0),
       MATCH(R50,'WEG Motor'!$B$2:$AZ$2,0))%</f>
        <v>0.93900000000000006</v>
      </c>
      <c r="T50" s="149">
        <v>0.92</v>
      </c>
      <c r="U50" s="149">
        <v>0.83179999999999998</v>
      </c>
      <c r="V50" s="150">
        <v>2.5790000000000002</v>
      </c>
      <c r="W50" s="151">
        <f>ROUND(((($BT$6*$BW$5*(C45*0.001)*D50)/1000)/U50), 2)</f>
        <v>31.13</v>
      </c>
      <c r="X50" s="23">
        <f t="shared" si="65"/>
        <v>33.15</v>
      </c>
      <c r="Y50" s="238">
        <f t="shared" si="15"/>
        <v>36.03</v>
      </c>
      <c r="Z50" s="212"/>
      <c r="AA50" s="217"/>
      <c r="AB50" s="24"/>
      <c r="AC50" s="24"/>
      <c r="AD50" s="152" t="e">
        <f>INDEX('WEG Motor'!$B$3:$AZ$55,
       MATCH(AB50,'WEG Motor'!$A$3:$A$55,0),
       MATCH(AC50,'WEG Motor'!$B$2:$AZ$2,0))%</f>
        <v>#N/A</v>
      </c>
      <c r="AE50" s="152">
        <v>0.92</v>
      </c>
      <c r="AF50" s="152"/>
      <c r="AG50" s="153"/>
      <c r="AH50" s="154" t="e">
        <f>ROUND(((($BT$6*$BW$5*(C45*0.001)*D50)/1000)/AF50), 2)</f>
        <v>#DIV/0!</v>
      </c>
      <c r="AI50" s="24" t="e">
        <f t="shared" si="66"/>
        <v>#DIV/0!</v>
      </c>
      <c r="AJ50" s="239" t="e">
        <f t="shared" si="16"/>
        <v>#DIV/0!</v>
      </c>
      <c r="AK50" s="218"/>
      <c r="AL50" s="223"/>
      <c r="AM50" s="25"/>
      <c r="AN50" s="25"/>
      <c r="AO50" s="155" t="e">
        <f>INDEX('WEG Motor'!$B$3:$AZ$55,
       MATCH(AM50,'WEG Motor'!$A$3:$A$55,0),
       MATCH(AN50,'WEG Motor'!$B$2:$AZ$2,0))%</f>
        <v>#N/A</v>
      </c>
      <c r="AP50" s="155">
        <v>0.92</v>
      </c>
      <c r="AQ50" s="155"/>
      <c r="AR50" s="156"/>
      <c r="AS50" s="157" t="e">
        <f>ROUND(((($BT$6*$BW$5*(C45*0.001)*D50)/1000)/AQ50), 2)</f>
        <v>#DIV/0!</v>
      </c>
      <c r="AT50" s="25" t="e">
        <f t="shared" si="67"/>
        <v>#DIV/0!</v>
      </c>
      <c r="AU50" s="240" t="e">
        <f t="shared" si="17"/>
        <v>#DIV/0!</v>
      </c>
      <c r="AV50" s="224"/>
      <c r="AW50" s="229"/>
      <c r="AX50" s="12"/>
      <c r="AY50" s="12"/>
      <c r="AZ50" s="158" t="e">
        <f>INDEX('WEG Motor'!$B$3:$AZ$55,
       MATCH(AX50,'WEG Motor'!$A$3:$A$55,0),
       MATCH(AY50,'WEG Motor'!$B$2:$AZ$2,0))%</f>
        <v>#N/A</v>
      </c>
      <c r="BA50" s="158">
        <v>0.92</v>
      </c>
      <c r="BB50" s="158"/>
      <c r="BC50" s="159"/>
      <c r="BD50" s="160" t="e">
        <f>ROUND(((($BT$6*$BW$5*(C45*0.001)*D50)/1000)/BB50), 2)</f>
        <v>#DIV/0!</v>
      </c>
      <c r="BE50" s="12" t="e">
        <f t="shared" si="68"/>
        <v>#DIV/0!</v>
      </c>
      <c r="BF50" s="241" t="e">
        <f t="shared" si="18"/>
        <v>#DIV/0!</v>
      </c>
      <c r="BG50" s="230"/>
      <c r="BH50" s="234"/>
      <c r="BI50" s="22"/>
      <c r="BJ50" s="22"/>
      <c r="BK50" s="161" t="e">
        <f>INDEX('WEG Motor'!$B$3:$AZ$55,
       MATCH(BI50,'WEG Motor'!$A$3:$A$55,0),
       MATCH(BJ50,'WEG Motor'!$B$2:$AZ$2,0))%</f>
        <v>#N/A</v>
      </c>
      <c r="BL50" s="161">
        <v>0.92</v>
      </c>
      <c r="BM50" s="161"/>
      <c r="BN50" s="162"/>
      <c r="BO50" s="163" t="e">
        <f>ROUND(((($BT$6*$BW$5*(C45*0.001)*D50)/1000)/BM50), 2)</f>
        <v>#DIV/0!</v>
      </c>
      <c r="BP50" s="22" t="e">
        <f t="shared" si="69"/>
        <v>#DIV/0!</v>
      </c>
      <c r="BQ50" s="242" t="e">
        <f t="shared" si="70"/>
        <v>#DIV/0!</v>
      </c>
      <c r="BR50" s="193"/>
    </row>
    <row r="51" spans="1:70" ht="15" thickBot="1" x14ac:dyDescent="0.35">
      <c r="A51" s="310"/>
      <c r="B51" s="310"/>
      <c r="C51" s="313"/>
      <c r="D51" s="165">
        <v>45</v>
      </c>
      <c r="E51" s="168"/>
      <c r="F51" s="169"/>
      <c r="G51" s="169"/>
      <c r="H51" s="170" t="e">
        <f>INDEX('WEG Motor'!$B$3:$AZ$55,
       MATCH(F51,'WEG Motor'!$A$3:$A$55,0),
       MATCH(G51,'WEG Motor'!$B$2:$AZ$2,0))%</f>
        <v>#N/A</v>
      </c>
      <c r="I51" s="170">
        <v>0.92</v>
      </c>
      <c r="J51" s="284"/>
      <c r="K51" s="171"/>
      <c r="L51" s="287" t="e">
        <f>ROUND(((($BT$6*$BW$5*(C45*0.001)*D51)/1000)/J51), 2)</f>
        <v>#DIV/0!</v>
      </c>
      <c r="M51" s="169" t="e">
        <f t="shared" si="64"/>
        <v>#DIV/0!</v>
      </c>
      <c r="N51" s="247" t="e">
        <f t="shared" si="14"/>
        <v>#DIV/0!</v>
      </c>
      <c r="O51" s="172"/>
      <c r="P51" s="213" t="s">
        <v>140</v>
      </c>
      <c r="Q51" s="194">
        <v>45</v>
      </c>
      <c r="R51" s="194" t="s">
        <v>35</v>
      </c>
      <c r="S51" s="195">
        <f>INDEX('WEG Motor'!$B$3:$AZ$55,
       MATCH(Q51,'WEG Motor'!$A$3:$A$55,0),
       MATCH(R51,'WEG Motor'!$B$2:$AZ$2,0))%</f>
        <v>0.94200000000000006</v>
      </c>
      <c r="T51" s="195">
        <v>0.92</v>
      </c>
      <c r="U51" s="195">
        <v>0.8004</v>
      </c>
      <c r="V51" s="196">
        <v>2.4209999999999998</v>
      </c>
      <c r="W51" s="140">
        <f>ROUND(((($BT$6*$BW$5*(C45*0.001)*D51)/1000)/U51), 2)</f>
        <v>36.39</v>
      </c>
      <c r="X51" s="194">
        <f t="shared" si="65"/>
        <v>38.630000000000003</v>
      </c>
      <c r="Y51" s="246">
        <f t="shared" si="15"/>
        <v>41.99</v>
      </c>
      <c r="Z51" s="214"/>
      <c r="AA51" s="219"/>
      <c r="AB51" s="197"/>
      <c r="AC51" s="197"/>
      <c r="AD51" s="198" t="e">
        <f>INDEX('WEG Motor'!$B$3:$AZ$55,
       MATCH(AB51,'WEG Motor'!$A$3:$A$55,0),
       MATCH(AC51,'WEG Motor'!$B$2:$AZ$2,0))%</f>
        <v>#N/A</v>
      </c>
      <c r="AE51" s="198">
        <v>0.92</v>
      </c>
      <c r="AF51" s="198"/>
      <c r="AG51" s="199"/>
      <c r="AH51" s="141" t="e">
        <f>ROUND(((($BT$6*$BW$5*(C45*0.001)*D51)/1000)/AF51), 2)</f>
        <v>#DIV/0!</v>
      </c>
      <c r="AI51" s="197" t="e">
        <f t="shared" si="66"/>
        <v>#DIV/0!</v>
      </c>
      <c r="AJ51" s="245" t="e">
        <f t="shared" si="16"/>
        <v>#DIV/0!</v>
      </c>
      <c r="AK51" s="220"/>
      <c r="AL51" s="225"/>
      <c r="AM51" s="200"/>
      <c r="AN51" s="200"/>
      <c r="AO51" s="201" t="e">
        <f>INDEX('WEG Motor'!$B$3:$AZ$55,
       MATCH(AM51,'WEG Motor'!$A$3:$A$55,0),
       MATCH(AN51,'WEG Motor'!$B$2:$AZ$2,0))%</f>
        <v>#N/A</v>
      </c>
      <c r="AP51" s="201">
        <v>0.92</v>
      </c>
      <c r="AQ51" s="201"/>
      <c r="AR51" s="202"/>
      <c r="AS51" s="142" t="e">
        <f>ROUND(((($BT$6*$BW$5*(C45*0.001)*D51)/1000)/AQ51), 2)</f>
        <v>#DIV/0!</v>
      </c>
      <c r="AT51" s="200" t="e">
        <f t="shared" si="67"/>
        <v>#DIV/0!</v>
      </c>
      <c r="AU51" s="244" t="e">
        <f t="shared" si="17"/>
        <v>#DIV/0!</v>
      </c>
      <c r="AV51" s="226"/>
      <c r="AW51" s="231"/>
      <c r="AX51" s="203"/>
      <c r="AY51" s="203"/>
      <c r="AZ51" s="204" t="e">
        <f>INDEX('WEG Motor'!$B$3:$AZ$55,
       MATCH(AX51,'WEG Motor'!$A$3:$A$55,0),
       MATCH(AY51,'WEG Motor'!$B$2:$AZ$2,0))%</f>
        <v>#N/A</v>
      </c>
      <c r="BA51" s="204">
        <v>0.92</v>
      </c>
      <c r="BB51" s="204"/>
      <c r="BC51" s="205"/>
      <c r="BD51" s="143" t="e">
        <f>ROUND(((($BT$6*$BW$5*(C45*0.001)*D51)/1000)/BB51), 2)</f>
        <v>#DIV/0!</v>
      </c>
      <c r="BE51" s="203" t="e">
        <f t="shared" si="68"/>
        <v>#DIV/0!</v>
      </c>
      <c r="BF51" s="243" t="e">
        <f t="shared" si="18"/>
        <v>#DIV/0!</v>
      </c>
      <c r="BG51" s="232"/>
      <c r="BH51" s="235"/>
      <c r="BI51" s="66"/>
      <c r="BJ51" s="66"/>
      <c r="BK51" s="206" t="e">
        <f>INDEX('WEG Motor'!$B$3:$AZ$55,
       MATCH(BI51,'WEG Motor'!$A$3:$A$55,0),
       MATCH(BJ51,'WEG Motor'!$B$2:$AZ$2,0))%</f>
        <v>#N/A</v>
      </c>
      <c r="BL51" s="206">
        <v>0.92</v>
      </c>
      <c r="BM51" s="206"/>
      <c r="BN51" s="207"/>
      <c r="BO51" s="144" t="e">
        <f>ROUND(((($BT$6*$BW$5*(C45*0.001)*D51)/1000)/BM51), 2)</f>
        <v>#DIV/0!</v>
      </c>
      <c r="BP51" s="292" t="e">
        <f t="shared" si="69"/>
        <v>#DIV/0!</v>
      </c>
      <c r="BQ51" s="293" t="e">
        <f t="shared" si="70"/>
        <v>#DIV/0!</v>
      </c>
      <c r="BR51" s="208"/>
    </row>
    <row r="52" spans="1:70" x14ac:dyDescent="0.3">
      <c r="A52" s="308">
        <v>7</v>
      </c>
      <c r="B52" s="308">
        <v>600</v>
      </c>
      <c r="C52" s="311">
        <f>ROUND((B52 * $BW$7 * 1000) / ($BT$6 * $BW$3 * $BW$4), 0)</f>
        <v>72</v>
      </c>
      <c r="D52" s="145">
        <v>15</v>
      </c>
      <c r="E52" s="173"/>
      <c r="F52" s="53"/>
      <c r="G52" s="53"/>
      <c r="H52" s="174" t="e">
        <f>INDEX('WEG Motor'!$B$3:$AZ$55,
       MATCH(F52,'WEG Motor'!$A$3:$A$55,0),
       MATCH(G52,'WEG Motor'!$B$2:$AZ$2,0))%</f>
        <v>#N/A</v>
      </c>
      <c r="I52" s="174">
        <v>0.92</v>
      </c>
      <c r="J52" s="282"/>
      <c r="K52" s="175"/>
      <c r="L52" s="285" t="e">
        <f t="shared" ref="L52" si="72">ROUND(((($BT$6*$BW$5*(C52*0.001)*D52)/1000)/J52), 2)</f>
        <v>#DIV/0!</v>
      </c>
      <c r="M52" s="53" t="e">
        <f>ROUND((L52/H52),2)</f>
        <v>#DIV/0!</v>
      </c>
      <c r="N52" s="236" t="e">
        <f t="shared" si="14"/>
        <v>#DIV/0!</v>
      </c>
      <c r="O52" s="176"/>
      <c r="P52" s="209" t="s">
        <v>142</v>
      </c>
      <c r="Q52" s="177">
        <v>22</v>
      </c>
      <c r="R52" s="177" t="s">
        <v>35</v>
      </c>
      <c r="S52" s="178">
        <f>INDEX('WEG Motor'!$B$3:$AZ$55,
       MATCH(Q52,'WEG Motor'!$A$3:$A$55,0),
       MATCH(R52,'WEG Motor'!$B$2:$AZ$2,0))%</f>
        <v>0.93099999999999994</v>
      </c>
      <c r="T52" s="178">
        <v>0.92</v>
      </c>
      <c r="U52" s="178">
        <v>0.83550000000000002</v>
      </c>
      <c r="V52" s="179">
        <v>2.6869999999999998</v>
      </c>
      <c r="W52" s="297">
        <f>ROUND(((($BT$6*$BW$5*(C52*0.001)*D52)/1000)/U52), 2)</f>
        <v>12.68</v>
      </c>
      <c r="X52" s="177">
        <f>ROUND((W52/S52),2)</f>
        <v>13.62</v>
      </c>
      <c r="Y52" s="276">
        <f t="shared" si="15"/>
        <v>14.8</v>
      </c>
      <c r="Z52" s="210"/>
      <c r="AA52" s="215"/>
      <c r="AB52" s="180"/>
      <c r="AC52" s="180"/>
      <c r="AD52" s="181" t="e">
        <f>INDEX('WEG Motor'!$B$3:$AZ$55,
       MATCH(AB52,'WEG Motor'!$A$3:$A$55,0),
       MATCH(AC52,'WEG Motor'!$B$2:$AZ$2,0))%</f>
        <v>#N/A</v>
      </c>
      <c r="AE52" s="181">
        <v>0.92</v>
      </c>
      <c r="AF52" s="181"/>
      <c r="AG52" s="182"/>
      <c r="AH52" s="296" t="e">
        <f>ROUND(((($BT$6*$BW$5*(C52*0.001)*D52)/1000)/AF52), 2)</f>
        <v>#DIV/0!</v>
      </c>
      <c r="AI52" s="180" t="e">
        <f>ROUND((AH52/AD52),2)</f>
        <v>#DIV/0!</v>
      </c>
      <c r="AJ52" s="277" t="e">
        <f t="shared" si="16"/>
        <v>#DIV/0!</v>
      </c>
      <c r="AK52" s="216"/>
      <c r="AL52" s="221"/>
      <c r="AM52" s="183"/>
      <c r="AN52" s="183"/>
      <c r="AO52" s="184" t="e">
        <f>INDEX('WEG Motor'!$B$3:$AZ$55,
       MATCH(AM52,'WEG Motor'!$A$3:$A$55,0),
       MATCH(AN52,'WEG Motor'!$B$2:$AZ$2,0))%</f>
        <v>#N/A</v>
      </c>
      <c r="AP52" s="184">
        <v>0.92</v>
      </c>
      <c r="AQ52" s="184"/>
      <c r="AR52" s="185"/>
      <c r="AS52" s="295" t="e">
        <f>ROUND(((($BT$6*$BW$5*(C52*0.001)*D52)/1000)/AQ52), 2)</f>
        <v>#DIV/0!</v>
      </c>
      <c r="AT52" s="183" t="e">
        <f>ROUND((AS52/AO52),2)</f>
        <v>#DIV/0!</v>
      </c>
      <c r="AU52" s="278" t="e">
        <f t="shared" si="17"/>
        <v>#DIV/0!</v>
      </c>
      <c r="AV52" s="222"/>
      <c r="AW52" s="227"/>
      <c r="AX52" s="186"/>
      <c r="AY52" s="186"/>
      <c r="AZ52" s="187" t="e">
        <f>INDEX('WEG Motor'!$B$3:$AZ$55,
       MATCH(AX52,'WEG Motor'!$A$3:$A$55,0),
       MATCH(AY52,'WEG Motor'!$B$2:$AZ$2,0))%</f>
        <v>#N/A</v>
      </c>
      <c r="BA52" s="187">
        <v>0.92</v>
      </c>
      <c r="BB52" s="187"/>
      <c r="BC52" s="188"/>
      <c r="BD52" s="294" t="e">
        <f>ROUND(((($BT$6*$BW$5*(C52*0.001)*D52)/1000)/BB52), 2)</f>
        <v>#DIV/0!</v>
      </c>
      <c r="BE52" s="186" t="e">
        <f>ROUND((BD52/AZ52),2)</f>
        <v>#DIV/0!</v>
      </c>
      <c r="BF52" s="279" t="e">
        <f t="shared" si="18"/>
        <v>#DIV/0!</v>
      </c>
      <c r="BG52" s="228"/>
      <c r="BH52" s="233"/>
      <c r="BI52" s="189"/>
      <c r="BJ52" s="189"/>
      <c r="BK52" s="190" t="e">
        <f>INDEX('WEG Motor'!$B$3:$AZ$55,
       MATCH(BI52,'WEG Motor'!$A$3:$A$55,0),
       MATCH(BJ52,'WEG Motor'!$B$2:$AZ$2,0))%</f>
        <v>#N/A</v>
      </c>
      <c r="BL52" s="190">
        <v>0.92</v>
      </c>
      <c r="BM52" s="190"/>
      <c r="BN52" s="191"/>
      <c r="BO52" s="289" t="e">
        <f>ROUND(((($BT$6*$BW$5*(C52*0.001)*D52)/1000)/BM52), 2)</f>
        <v>#DIV/0!</v>
      </c>
      <c r="BP52" s="290" t="e">
        <f>ROUND((BO52/BK52),2)</f>
        <v>#DIV/0!</v>
      </c>
      <c r="BQ52" s="291" t="e">
        <f>ROUND((BP52/BL52), 2)</f>
        <v>#DIV/0!</v>
      </c>
      <c r="BR52" s="192"/>
    </row>
    <row r="53" spans="1:70" x14ac:dyDescent="0.3">
      <c r="A53" s="309"/>
      <c r="B53" s="309"/>
      <c r="C53" s="312"/>
      <c r="D53" s="164">
        <v>20</v>
      </c>
      <c r="E53" s="166"/>
      <c r="F53" s="146"/>
      <c r="G53" s="146"/>
      <c r="H53" s="147" t="e">
        <f>INDEX('WEG Motor'!$B$3:$AZ$55,
       MATCH(F53,'WEG Motor'!$A$3:$A$55,0),
       MATCH(G53,'WEG Motor'!$B$2:$AZ$2,0))%</f>
        <v>#N/A</v>
      </c>
      <c r="I53" s="147">
        <v>0.92</v>
      </c>
      <c r="J53" s="283"/>
      <c r="K53" s="148"/>
      <c r="L53" s="286" t="e">
        <f>ROUND(((($BT$6*$BW$5*(C52*0.001)*D53)/1000)/J53), 2)</f>
        <v>#DIV/0!</v>
      </c>
      <c r="M53" s="146" t="e">
        <f t="shared" ref="M53:M58" si="73">ROUND((L53/H53),2)</f>
        <v>#DIV/0!</v>
      </c>
      <c r="N53" s="237" t="e">
        <f t="shared" si="14"/>
        <v>#DIV/0!</v>
      </c>
      <c r="O53" s="167"/>
      <c r="P53" s="211" t="s">
        <v>50</v>
      </c>
      <c r="Q53" s="23">
        <v>18.5</v>
      </c>
      <c r="R53" s="23" t="s">
        <v>35</v>
      </c>
      <c r="S53" s="149">
        <f>INDEX('WEG Motor'!$B$3:$AZ$55,
       MATCH(Q53,'WEG Motor'!$A$3:$A$55,0),
       MATCH(R53,'WEG Motor'!$B$2:$AZ$2,0))%</f>
        <v>0.92599999999999993</v>
      </c>
      <c r="T53" s="149">
        <v>0.92</v>
      </c>
      <c r="U53" s="149">
        <v>0.86929999999999996</v>
      </c>
      <c r="V53" s="150">
        <v>2.7639999999999998</v>
      </c>
      <c r="W53" s="151">
        <f>ROUND(((($BT$6*$BW$5*(C52*0.001)*D53)/1000)/U53), 2)</f>
        <v>16.25</v>
      </c>
      <c r="X53" s="23">
        <f t="shared" ref="X53:X58" si="74">ROUND((W53/S53),2)</f>
        <v>17.55</v>
      </c>
      <c r="Y53" s="238">
        <f t="shared" si="15"/>
        <v>19.079999999999998</v>
      </c>
      <c r="Z53" s="212"/>
      <c r="AA53" s="217"/>
      <c r="AB53" s="24"/>
      <c r="AC53" s="24"/>
      <c r="AD53" s="152" t="e">
        <f>INDEX('WEG Motor'!$B$3:$AZ$55,
       MATCH(AB53,'WEG Motor'!$A$3:$A$55,0),
       MATCH(AC53,'WEG Motor'!$B$2:$AZ$2,0))%</f>
        <v>#N/A</v>
      </c>
      <c r="AE53" s="152">
        <v>0.92</v>
      </c>
      <c r="AF53" s="152"/>
      <c r="AG53" s="153"/>
      <c r="AH53" s="154" t="e">
        <f>ROUND(((($BT$6*$BW$5*(C52*0.001)*D53)/1000)/AF53), 2)</f>
        <v>#DIV/0!</v>
      </c>
      <c r="AI53" s="24" t="e">
        <f t="shared" ref="AI53:AI58" si="75">ROUND((AH53/AD53),2)</f>
        <v>#DIV/0!</v>
      </c>
      <c r="AJ53" s="239" t="e">
        <f t="shared" si="16"/>
        <v>#DIV/0!</v>
      </c>
      <c r="AK53" s="218"/>
      <c r="AL53" s="223"/>
      <c r="AM53" s="25"/>
      <c r="AN53" s="25"/>
      <c r="AO53" s="155" t="e">
        <f>INDEX('WEG Motor'!$B$3:$AZ$55,
       MATCH(AM53,'WEG Motor'!$A$3:$A$55,0),
       MATCH(AN53,'WEG Motor'!$B$2:$AZ$2,0))%</f>
        <v>#N/A</v>
      </c>
      <c r="AP53" s="155">
        <v>0.92</v>
      </c>
      <c r="AQ53" s="155"/>
      <c r="AR53" s="156"/>
      <c r="AS53" s="157" t="e">
        <f>ROUND(((($BT$6*$BW$5*(C52*0.001)*D53)/1000)/AQ53), 2)</f>
        <v>#DIV/0!</v>
      </c>
      <c r="AT53" s="25" t="e">
        <f t="shared" ref="AT53:AT58" si="76">ROUND((AS53/AO53),2)</f>
        <v>#DIV/0!</v>
      </c>
      <c r="AU53" s="240" t="e">
        <f t="shared" si="17"/>
        <v>#DIV/0!</v>
      </c>
      <c r="AV53" s="224"/>
      <c r="AW53" s="229"/>
      <c r="AX53" s="12"/>
      <c r="AY53" s="12"/>
      <c r="AZ53" s="158" t="e">
        <f>INDEX('WEG Motor'!$B$3:$AZ$55,
       MATCH(AX53,'WEG Motor'!$A$3:$A$55,0),
       MATCH(AY53,'WEG Motor'!$B$2:$AZ$2,0))%</f>
        <v>#N/A</v>
      </c>
      <c r="BA53" s="158">
        <v>0.92</v>
      </c>
      <c r="BB53" s="158"/>
      <c r="BC53" s="159"/>
      <c r="BD53" s="160" t="e">
        <f>ROUND(((($BT$6*$BW$5*(C52*0.001)*D53)/1000)/BB53), 2)</f>
        <v>#DIV/0!</v>
      </c>
      <c r="BE53" s="12" t="e">
        <f t="shared" ref="BE53:BE58" si="77">ROUND((BD53/AZ53),2)</f>
        <v>#DIV/0!</v>
      </c>
      <c r="BF53" s="241" t="e">
        <f t="shared" si="18"/>
        <v>#DIV/0!</v>
      </c>
      <c r="BG53" s="230"/>
      <c r="BH53" s="234"/>
      <c r="BI53" s="22"/>
      <c r="BJ53" s="22"/>
      <c r="BK53" s="161" t="e">
        <f>INDEX('WEG Motor'!$B$3:$AZ$55,
       MATCH(BI53,'WEG Motor'!$A$3:$A$55,0),
       MATCH(BJ53,'WEG Motor'!$B$2:$AZ$2,0))%</f>
        <v>#N/A</v>
      </c>
      <c r="BL53" s="161">
        <v>0.92</v>
      </c>
      <c r="BM53" s="161"/>
      <c r="BN53" s="162"/>
      <c r="BO53" s="163" t="e">
        <f>ROUND(((($BT$6*$BW$5*(C52*0.001)*D53)/1000)/BM53), 2)</f>
        <v>#DIV/0!</v>
      </c>
      <c r="BP53" s="22" t="e">
        <f t="shared" ref="BP53:BP58" si="78">ROUND((BO53/BK53),2)</f>
        <v>#DIV/0!</v>
      </c>
      <c r="BQ53" s="242" t="e">
        <f t="shared" ref="BQ53:BQ58" si="79">ROUND((BP53/BL53), 2)</f>
        <v>#DIV/0!</v>
      </c>
      <c r="BR53" s="193"/>
    </row>
    <row r="54" spans="1:70" x14ac:dyDescent="0.3">
      <c r="A54" s="309"/>
      <c r="B54" s="309"/>
      <c r="C54" s="312"/>
      <c r="D54" s="164">
        <v>25</v>
      </c>
      <c r="E54" s="166"/>
      <c r="F54" s="146"/>
      <c r="G54" s="146"/>
      <c r="H54" s="147" t="e">
        <f>INDEX('WEG Motor'!$B$3:$AZ$55,
       MATCH(F54,'WEG Motor'!$A$3:$A$55,0),
       MATCH(G54,'WEG Motor'!$B$2:$AZ$2,0))%</f>
        <v>#N/A</v>
      </c>
      <c r="I54" s="147">
        <v>0.92</v>
      </c>
      <c r="J54" s="283"/>
      <c r="K54" s="148"/>
      <c r="L54" s="286" t="e">
        <f>ROUND(((($BT$6*$BW$5*(C52*0.001)*D54)/1000)/J54), 2)</f>
        <v>#DIV/0!</v>
      </c>
      <c r="M54" s="146" t="e">
        <f t="shared" si="73"/>
        <v>#DIV/0!</v>
      </c>
      <c r="N54" s="237" t="e">
        <f t="shared" si="14"/>
        <v>#DIV/0!</v>
      </c>
      <c r="O54" s="167"/>
      <c r="P54" s="211" t="s">
        <v>138</v>
      </c>
      <c r="Q54" s="23">
        <v>30</v>
      </c>
      <c r="R54" s="23" t="s">
        <v>35</v>
      </c>
      <c r="S54" s="149">
        <f>INDEX('WEG Motor'!$B$3:$AZ$55,
       MATCH(Q54,'WEG Motor'!$A$3:$A$55,0),
       MATCH(R54,'WEG Motor'!$B$2:$AZ$2,0))%</f>
        <v>0.93599999999999994</v>
      </c>
      <c r="T54" s="149">
        <v>0.92</v>
      </c>
      <c r="U54" s="149">
        <v>0.83409999999999995</v>
      </c>
      <c r="V54" s="150">
        <v>2.7349999999999999</v>
      </c>
      <c r="W54" s="151">
        <f>ROUND(((($BT$6*$BW$5*(C52*0.001)*D54)/1000)/U54), 2)</f>
        <v>21.17</v>
      </c>
      <c r="X54" s="23">
        <f t="shared" si="74"/>
        <v>22.62</v>
      </c>
      <c r="Y54" s="238">
        <f t="shared" si="15"/>
        <v>24.59</v>
      </c>
      <c r="Z54" s="212"/>
      <c r="AA54" s="217"/>
      <c r="AB54" s="24"/>
      <c r="AC54" s="24"/>
      <c r="AD54" s="152" t="e">
        <f>INDEX('WEG Motor'!$B$3:$AZ$55,
       MATCH(AB54,'WEG Motor'!$A$3:$A$55,0),
       MATCH(AC54,'WEG Motor'!$B$2:$AZ$2,0))%</f>
        <v>#N/A</v>
      </c>
      <c r="AE54" s="152">
        <v>0.92</v>
      </c>
      <c r="AF54" s="152"/>
      <c r="AG54" s="153"/>
      <c r="AH54" s="154" t="e">
        <f>ROUND(((($BT$6*$BW$5*(C52*0.001)*D54)/1000)/AF54), 2)</f>
        <v>#DIV/0!</v>
      </c>
      <c r="AI54" s="24" t="e">
        <f t="shared" si="75"/>
        <v>#DIV/0!</v>
      </c>
      <c r="AJ54" s="239" t="e">
        <f t="shared" si="16"/>
        <v>#DIV/0!</v>
      </c>
      <c r="AK54" s="218"/>
      <c r="AL54" s="223"/>
      <c r="AM54" s="25"/>
      <c r="AN54" s="25"/>
      <c r="AO54" s="155" t="e">
        <f>INDEX('WEG Motor'!$B$3:$AZ$55,
       MATCH(AM54,'WEG Motor'!$A$3:$A$55,0),
       MATCH(AN54,'WEG Motor'!$B$2:$AZ$2,0))%</f>
        <v>#N/A</v>
      </c>
      <c r="AP54" s="155">
        <v>0.92</v>
      </c>
      <c r="AQ54" s="155"/>
      <c r="AR54" s="156"/>
      <c r="AS54" s="157" t="e">
        <f>ROUND(((($BT$6*$BW$5*(C52*0.001)*D54)/1000)/AQ54), 2)</f>
        <v>#DIV/0!</v>
      </c>
      <c r="AT54" s="25" t="e">
        <f t="shared" si="76"/>
        <v>#DIV/0!</v>
      </c>
      <c r="AU54" s="240" t="e">
        <f t="shared" si="17"/>
        <v>#DIV/0!</v>
      </c>
      <c r="AV54" s="224"/>
      <c r="AW54" s="229"/>
      <c r="AX54" s="12"/>
      <c r="AY54" s="12"/>
      <c r="AZ54" s="158" t="e">
        <f>INDEX('WEG Motor'!$B$3:$AZ$55,
       MATCH(AX54,'WEG Motor'!$A$3:$A$55,0),
       MATCH(AY54,'WEG Motor'!$B$2:$AZ$2,0))%</f>
        <v>#N/A</v>
      </c>
      <c r="BA54" s="158">
        <v>0.92</v>
      </c>
      <c r="BB54" s="158"/>
      <c r="BC54" s="159"/>
      <c r="BD54" s="160" t="e">
        <f>ROUND(((($BT$6*$BW$5*(C52*0.001)*D54)/1000)/BB54), 2)</f>
        <v>#DIV/0!</v>
      </c>
      <c r="BE54" s="12" t="e">
        <f t="shared" si="77"/>
        <v>#DIV/0!</v>
      </c>
      <c r="BF54" s="241" t="e">
        <f t="shared" si="18"/>
        <v>#DIV/0!</v>
      </c>
      <c r="BG54" s="230"/>
      <c r="BH54" s="234"/>
      <c r="BI54" s="22"/>
      <c r="BJ54" s="22"/>
      <c r="BK54" s="161" t="e">
        <f>INDEX('WEG Motor'!$B$3:$AZ$55,
       MATCH(BI54,'WEG Motor'!$A$3:$A$55,0),
       MATCH(BJ54,'WEG Motor'!$B$2:$AZ$2,0))%</f>
        <v>#N/A</v>
      </c>
      <c r="BL54" s="161">
        <v>0.92</v>
      </c>
      <c r="BM54" s="161"/>
      <c r="BN54" s="162"/>
      <c r="BO54" s="163" t="e">
        <f>ROUND(((($BT$6*$BW$5*(C52*0.001)*D54)/1000)/BM54), 2)</f>
        <v>#DIV/0!</v>
      </c>
      <c r="BP54" s="22" t="e">
        <f t="shared" si="78"/>
        <v>#DIV/0!</v>
      </c>
      <c r="BQ54" s="242" t="e">
        <f t="shared" si="79"/>
        <v>#DIV/0!</v>
      </c>
      <c r="BR54" s="193"/>
    </row>
    <row r="55" spans="1:70" x14ac:dyDescent="0.3">
      <c r="A55" s="309"/>
      <c r="B55" s="309"/>
      <c r="C55" s="312"/>
      <c r="D55" s="164">
        <v>30</v>
      </c>
      <c r="E55" s="166"/>
      <c r="F55" s="146"/>
      <c r="G55" s="146"/>
      <c r="H55" s="147" t="e">
        <f>INDEX('WEG Motor'!$B$3:$AZ$55,
       MATCH(F55,'WEG Motor'!$A$3:$A$55,0),
       MATCH(G55,'WEG Motor'!$B$2:$AZ$2,0))%</f>
        <v>#N/A</v>
      </c>
      <c r="I55" s="147">
        <v>0.92</v>
      </c>
      <c r="J55" s="283"/>
      <c r="K55" s="148"/>
      <c r="L55" s="286" t="e">
        <f>ROUND(((($BT$6*$BW$5*(C52*0.001)*D55)/1000)/J55), 2)</f>
        <v>#DIV/0!</v>
      </c>
      <c r="M55" s="146" t="e">
        <f t="shared" si="73"/>
        <v>#DIV/0!</v>
      </c>
      <c r="N55" s="237" t="e">
        <f t="shared" si="14"/>
        <v>#DIV/0!</v>
      </c>
      <c r="O55" s="167"/>
      <c r="P55" s="211" t="s">
        <v>138</v>
      </c>
      <c r="Q55" s="23">
        <v>30</v>
      </c>
      <c r="R55" s="23" t="s">
        <v>35</v>
      </c>
      <c r="S55" s="149">
        <f>INDEX('WEG Motor'!$B$3:$AZ$55,
       MATCH(Q55,'WEG Motor'!$A$3:$A$55,0),
       MATCH(R55,'WEG Motor'!$B$2:$AZ$2,0))%</f>
        <v>0.93599999999999994</v>
      </c>
      <c r="T55" s="149">
        <v>0.92</v>
      </c>
      <c r="U55" s="149">
        <v>0.84689999999999999</v>
      </c>
      <c r="V55" s="150">
        <v>2.7029999999999998</v>
      </c>
      <c r="W55" s="151">
        <f>ROUND(((($BT$6*$BW$5*(C52*0.001)*D55)/1000)/U55), 2)</f>
        <v>25.01</v>
      </c>
      <c r="X55" s="23">
        <f t="shared" si="74"/>
        <v>26.72</v>
      </c>
      <c r="Y55" s="238">
        <f t="shared" si="15"/>
        <v>29.04</v>
      </c>
      <c r="Z55" s="212"/>
      <c r="AA55" s="217"/>
      <c r="AB55" s="24"/>
      <c r="AC55" s="24"/>
      <c r="AD55" s="152" t="e">
        <f>INDEX('WEG Motor'!$B$3:$AZ$55,
       MATCH(AB55,'WEG Motor'!$A$3:$A$55,0),
       MATCH(AC55,'WEG Motor'!$B$2:$AZ$2,0))%</f>
        <v>#N/A</v>
      </c>
      <c r="AE55" s="152">
        <v>0.92</v>
      </c>
      <c r="AF55" s="152"/>
      <c r="AG55" s="153"/>
      <c r="AH55" s="154" t="e">
        <f>ROUND(((($BT$6*$BW$5*(C52*0.001)*D55)/1000)/AF55), 2)</f>
        <v>#DIV/0!</v>
      </c>
      <c r="AI55" s="24" t="e">
        <f t="shared" si="75"/>
        <v>#DIV/0!</v>
      </c>
      <c r="AJ55" s="239" t="e">
        <f t="shared" si="16"/>
        <v>#DIV/0!</v>
      </c>
      <c r="AK55" s="218"/>
      <c r="AL55" s="223"/>
      <c r="AM55" s="25"/>
      <c r="AN55" s="25"/>
      <c r="AO55" s="155" t="e">
        <f>INDEX('WEG Motor'!$B$3:$AZ$55,
       MATCH(AM55,'WEG Motor'!$A$3:$A$55,0),
       MATCH(AN55,'WEG Motor'!$B$2:$AZ$2,0))%</f>
        <v>#N/A</v>
      </c>
      <c r="AP55" s="155">
        <v>0.92</v>
      </c>
      <c r="AQ55" s="155"/>
      <c r="AR55" s="156"/>
      <c r="AS55" s="157" t="e">
        <f>ROUND(((($BT$6*$BW$5*(C52*0.001)*D55)/1000)/AQ55), 2)</f>
        <v>#DIV/0!</v>
      </c>
      <c r="AT55" s="25" t="e">
        <f t="shared" si="76"/>
        <v>#DIV/0!</v>
      </c>
      <c r="AU55" s="240" t="e">
        <f t="shared" si="17"/>
        <v>#DIV/0!</v>
      </c>
      <c r="AV55" s="224"/>
      <c r="AW55" s="229"/>
      <c r="AX55" s="12"/>
      <c r="AY55" s="12"/>
      <c r="AZ55" s="158" t="e">
        <f>INDEX('WEG Motor'!$B$3:$AZ$55,
       MATCH(AX55,'WEG Motor'!$A$3:$A$55,0),
       MATCH(AY55,'WEG Motor'!$B$2:$AZ$2,0))%</f>
        <v>#N/A</v>
      </c>
      <c r="BA55" s="158">
        <v>0.92</v>
      </c>
      <c r="BB55" s="158"/>
      <c r="BC55" s="159"/>
      <c r="BD55" s="160" t="e">
        <f>ROUND(((($BT$6*$BW$5*(C52*0.001)*D55)/1000)/BB55), 2)</f>
        <v>#DIV/0!</v>
      </c>
      <c r="BE55" s="12" t="e">
        <f t="shared" si="77"/>
        <v>#DIV/0!</v>
      </c>
      <c r="BF55" s="241" t="e">
        <f t="shared" si="18"/>
        <v>#DIV/0!</v>
      </c>
      <c r="BG55" s="230"/>
      <c r="BH55" s="234"/>
      <c r="BI55" s="22"/>
      <c r="BJ55" s="22"/>
      <c r="BK55" s="161" t="e">
        <f>INDEX('WEG Motor'!$B$3:$AZ$55,
       MATCH(BI55,'WEG Motor'!$A$3:$A$55,0),
       MATCH(BJ55,'WEG Motor'!$B$2:$AZ$2,0))%</f>
        <v>#N/A</v>
      </c>
      <c r="BL55" s="161">
        <v>0.92</v>
      </c>
      <c r="BM55" s="161"/>
      <c r="BN55" s="162"/>
      <c r="BO55" s="163" t="e">
        <f>ROUND(((($BT$6*$BW$5*(C52*0.001)*D55)/1000)/BM55), 2)</f>
        <v>#DIV/0!</v>
      </c>
      <c r="BP55" s="22" t="e">
        <f t="shared" si="78"/>
        <v>#DIV/0!</v>
      </c>
      <c r="BQ55" s="242" t="e">
        <f t="shared" si="79"/>
        <v>#DIV/0!</v>
      </c>
      <c r="BR55" s="193"/>
    </row>
    <row r="56" spans="1:70" x14ac:dyDescent="0.3">
      <c r="A56" s="309"/>
      <c r="B56" s="309"/>
      <c r="C56" s="312"/>
      <c r="D56" s="164">
        <v>35</v>
      </c>
      <c r="E56" s="166"/>
      <c r="F56" s="146"/>
      <c r="G56" s="146"/>
      <c r="H56" s="147" t="e">
        <f>INDEX('WEG Motor'!$B$3:$AZ$55,
       MATCH(F56,'WEG Motor'!$A$3:$A$55,0),
       MATCH(G56,'WEG Motor'!$B$2:$AZ$2,0))%</f>
        <v>#N/A</v>
      </c>
      <c r="I56" s="147">
        <v>0.92</v>
      </c>
      <c r="J56" s="283"/>
      <c r="K56" s="148"/>
      <c r="L56" s="286" t="e">
        <f t="shared" ref="L56" si="80">ROUND(((($BT$6*$BW$5*(C56*0.001)*D56)/1000)/J56), 2)</f>
        <v>#DIV/0!</v>
      </c>
      <c r="M56" s="146" t="e">
        <f t="shared" si="73"/>
        <v>#DIV/0!</v>
      </c>
      <c r="N56" s="237" t="e">
        <f t="shared" si="14"/>
        <v>#DIV/0!</v>
      </c>
      <c r="O56" s="167"/>
      <c r="P56" s="211" t="s">
        <v>139</v>
      </c>
      <c r="Q56" s="23">
        <v>37</v>
      </c>
      <c r="R56" s="23" t="s">
        <v>35</v>
      </c>
      <c r="S56" s="149">
        <f>INDEX('WEG Motor'!$B$3:$AZ$55,
       MATCH(Q56,'WEG Motor'!$A$3:$A$55,0),
       MATCH(R56,'WEG Motor'!$B$2:$AZ$2,0))%</f>
        <v>0.93900000000000006</v>
      </c>
      <c r="T56" s="149">
        <v>0.92</v>
      </c>
      <c r="U56" s="149">
        <v>0.84619999999999995</v>
      </c>
      <c r="V56" s="150">
        <v>2.6970000000000001</v>
      </c>
      <c r="W56" s="151">
        <f>ROUND(((($BT$6*$BW$5*(C52*0.001)*D56)/1000)/U56), 2)</f>
        <v>29.21</v>
      </c>
      <c r="X56" s="23">
        <f t="shared" si="74"/>
        <v>31.11</v>
      </c>
      <c r="Y56" s="238">
        <f t="shared" si="15"/>
        <v>33.82</v>
      </c>
      <c r="Z56" s="212"/>
      <c r="AA56" s="217"/>
      <c r="AB56" s="24"/>
      <c r="AC56" s="24"/>
      <c r="AD56" s="152" t="e">
        <f>INDEX('WEG Motor'!$B$3:$AZ$55,
       MATCH(AB56,'WEG Motor'!$A$3:$A$55,0),
       MATCH(AC56,'WEG Motor'!$B$2:$AZ$2,0))%</f>
        <v>#N/A</v>
      </c>
      <c r="AE56" s="152">
        <v>0.92</v>
      </c>
      <c r="AF56" s="152"/>
      <c r="AG56" s="153"/>
      <c r="AH56" s="154" t="e">
        <f>ROUND(((($BT$6*$BW$5*(C52*0.001)*D56)/1000)/AF56), 2)</f>
        <v>#DIV/0!</v>
      </c>
      <c r="AI56" s="24" t="e">
        <f t="shared" si="75"/>
        <v>#DIV/0!</v>
      </c>
      <c r="AJ56" s="239" t="e">
        <f t="shared" si="16"/>
        <v>#DIV/0!</v>
      </c>
      <c r="AK56" s="218"/>
      <c r="AL56" s="223"/>
      <c r="AM56" s="25"/>
      <c r="AN56" s="25"/>
      <c r="AO56" s="155" t="e">
        <f>INDEX('WEG Motor'!$B$3:$AZ$55,
       MATCH(AM56,'WEG Motor'!$A$3:$A$55,0),
       MATCH(AN56,'WEG Motor'!$B$2:$AZ$2,0))%</f>
        <v>#N/A</v>
      </c>
      <c r="AP56" s="155">
        <v>0.92</v>
      </c>
      <c r="AQ56" s="155"/>
      <c r="AR56" s="156"/>
      <c r="AS56" s="157" t="e">
        <f>ROUND(((($BT$6*$BW$5*(C52*0.001)*D56)/1000)/AQ56), 2)</f>
        <v>#DIV/0!</v>
      </c>
      <c r="AT56" s="25" t="e">
        <f t="shared" si="76"/>
        <v>#DIV/0!</v>
      </c>
      <c r="AU56" s="240" t="e">
        <f t="shared" si="17"/>
        <v>#DIV/0!</v>
      </c>
      <c r="AV56" s="224"/>
      <c r="AW56" s="229"/>
      <c r="AX56" s="12"/>
      <c r="AY56" s="12"/>
      <c r="AZ56" s="158" t="e">
        <f>INDEX('WEG Motor'!$B$3:$AZ$55,
       MATCH(AX56,'WEG Motor'!$A$3:$A$55,0),
       MATCH(AY56,'WEG Motor'!$B$2:$AZ$2,0))%</f>
        <v>#N/A</v>
      </c>
      <c r="BA56" s="158">
        <v>0.92</v>
      </c>
      <c r="BB56" s="158"/>
      <c r="BC56" s="159"/>
      <c r="BD56" s="160" t="e">
        <f>ROUND(((($BT$6*$BW$5*(C52*0.001)*D56)/1000)/BB56), 2)</f>
        <v>#DIV/0!</v>
      </c>
      <c r="BE56" s="12" t="e">
        <f t="shared" si="77"/>
        <v>#DIV/0!</v>
      </c>
      <c r="BF56" s="241" t="e">
        <f t="shared" si="18"/>
        <v>#DIV/0!</v>
      </c>
      <c r="BG56" s="230"/>
      <c r="BH56" s="234"/>
      <c r="BI56" s="22"/>
      <c r="BJ56" s="22"/>
      <c r="BK56" s="161" t="e">
        <f>INDEX('WEG Motor'!$B$3:$AZ$55,
       MATCH(BI56,'WEG Motor'!$A$3:$A$55,0),
       MATCH(BJ56,'WEG Motor'!$B$2:$AZ$2,0))%</f>
        <v>#N/A</v>
      </c>
      <c r="BL56" s="161">
        <v>0.92</v>
      </c>
      <c r="BM56" s="161"/>
      <c r="BN56" s="162"/>
      <c r="BO56" s="163" t="e">
        <f>ROUND(((($BT$6*$BW$5*(C52*0.001)*D56)/1000)/BM56), 2)</f>
        <v>#DIV/0!</v>
      </c>
      <c r="BP56" s="22" t="e">
        <f t="shared" si="78"/>
        <v>#DIV/0!</v>
      </c>
      <c r="BQ56" s="242" t="e">
        <f t="shared" si="79"/>
        <v>#DIV/0!</v>
      </c>
      <c r="BR56" s="193"/>
    </row>
    <row r="57" spans="1:70" x14ac:dyDescent="0.3">
      <c r="A57" s="309"/>
      <c r="B57" s="309"/>
      <c r="C57" s="312"/>
      <c r="D57" s="164">
        <v>40</v>
      </c>
      <c r="E57" s="166"/>
      <c r="F57" s="146"/>
      <c r="G57" s="146"/>
      <c r="H57" s="147" t="e">
        <f>INDEX('WEG Motor'!$B$3:$AZ$55,
       MATCH(F57,'WEG Motor'!$A$3:$A$55,0),
       MATCH(G57,'WEG Motor'!$B$2:$AZ$2,0))%</f>
        <v>#N/A</v>
      </c>
      <c r="I57" s="147">
        <v>0.92</v>
      </c>
      <c r="J57" s="283"/>
      <c r="K57" s="148"/>
      <c r="L57" s="286" t="e">
        <f>ROUND(((($BT$6*$BW$5*(C52*0.001)*D57)/1000)/J57), 2)</f>
        <v>#DIV/0!</v>
      </c>
      <c r="M57" s="146" t="e">
        <f t="shared" si="73"/>
        <v>#DIV/0!</v>
      </c>
      <c r="N57" s="237" t="e">
        <f t="shared" si="14"/>
        <v>#DIV/0!</v>
      </c>
      <c r="O57" s="167"/>
      <c r="P57" s="211" t="s">
        <v>139</v>
      </c>
      <c r="Q57" s="23">
        <v>37</v>
      </c>
      <c r="R57" s="23" t="s">
        <v>35</v>
      </c>
      <c r="S57" s="149">
        <f>INDEX('WEG Motor'!$B$3:$AZ$55,
       MATCH(Q57,'WEG Motor'!$A$3:$A$55,0),
       MATCH(R57,'WEG Motor'!$B$2:$AZ$2,0))%</f>
        <v>0.93900000000000006</v>
      </c>
      <c r="T57" s="149">
        <v>0.92</v>
      </c>
      <c r="U57" s="149">
        <v>0.84340000000000004</v>
      </c>
      <c r="V57" s="150">
        <v>2.6970000000000001</v>
      </c>
      <c r="W57" s="151">
        <f>ROUND(((($BT$6*$BW$5*(C52*0.001)*D57)/1000)/U57), 2)</f>
        <v>33.49</v>
      </c>
      <c r="X57" s="23">
        <f t="shared" si="74"/>
        <v>35.67</v>
      </c>
      <c r="Y57" s="238">
        <f t="shared" si="15"/>
        <v>38.770000000000003</v>
      </c>
      <c r="Z57" s="212"/>
      <c r="AA57" s="217"/>
      <c r="AB57" s="24"/>
      <c r="AC57" s="24"/>
      <c r="AD57" s="152" t="e">
        <f>INDEX('WEG Motor'!$B$3:$AZ$55,
       MATCH(AB57,'WEG Motor'!$A$3:$A$55,0),
       MATCH(AC57,'WEG Motor'!$B$2:$AZ$2,0))%</f>
        <v>#N/A</v>
      </c>
      <c r="AE57" s="152">
        <v>0.92</v>
      </c>
      <c r="AF57" s="152"/>
      <c r="AG57" s="153"/>
      <c r="AH57" s="154" t="e">
        <f>ROUND(((($BT$6*$BW$5*(C52*0.001)*D57)/1000)/AF57), 2)</f>
        <v>#DIV/0!</v>
      </c>
      <c r="AI57" s="24" t="e">
        <f t="shared" si="75"/>
        <v>#DIV/0!</v>
      </c>
      <c r="AJ57" s="239" t="e">
        <f t="shared" si="16"/>
        <v>#DIV/0!</v>
      </c>
      <c r="AK57" s="218"/>
      <c r="AL57" s="223"/>
      <c r="AM57" s="25"/>
      <c r="AN57" s="25"/>
      <c r="AO57" s="155" t="e">
        <f>INDEX('WEG Motor'!$B$3:$AZ$55,
       MATCH(AM57,'WEG Motor'!$A$3:$A$55,0),
       MATCH(AN57,'WEG Motor'!$B$2:$AZ$2,0))%</f>
        <v>#N/A</v>
      </c>
      <c r="AP57" s="155">
        <v>0.92</v>
      </c>
      <c r="AQ57" s="155"/>
      <c r="AR57" s="156"/>
      <c r="AS57" s="157" t="e">
        <f>ROUND(((($BT$6*$BW$5*(C52*0.001)*D57)/1000)/AQ57), 2)</f>
        <v>#DIV/0!</v>
      </c>
      <c r="AT57" s="25" t="e">
        <f t="shared" si="76"/>
        <v>#DIV/0!</v>
      </c>
      <c r="AU57" s="240" t="e">
        <f t="shared" si="17"/>
        <v>#DIV/0!</v>
      </c>
      <c r="AV57" s="224"/>
      <c r="AW57" s="229"/>
      <c r="AX57" s="12"/>
      <c r="AY57" s="12"/>
      <c r="AZ57" s="158" t="e">
        <f>INDEX('WEG Motor'!$B$3:$AZ$55,
       MATCH(AX57,'WEG Motor'!$A$3:$A$55,0),
       MATCH(AY57,'WEG Motor'!$B$2:$AZ$2,0))%</f>
        <v>#N/A</v>
      </c>
      <c r="BA57" s="158">
        <v>0.92</v>
      </c>
      <c r="BB57" s="158"/>
      <c r="BC57" s="159"/>
      <c r="BD57" s="160" t="e">
        <f>ROUND(((($BT$6*$BW$5*(C52*0.001)*D57)/1000)/BB57), 2)</f>
        <v>#DIV/0!</v>
      </c>
      <c r="BE57" s="12" t="e">
        <f t="shared" si="77"/>
        <v>#DIV/0!</v>
      </c>
      <c r="BF57" s="241" t="e">
        <f t="shared" si="18"/>
        <v>#DIV/0!</v>
      </c>
      <c r="BG57" s="230"/>
      <c r="BH57" s="234"/>
      <c r="BI57" s="22"/>
      <c r="BJ57" s="22"/>
      <c r="BK57" s="161" t="e">
        <f>INDEX('WEG Motor'!$B$3:$AZ$55,
       MATCH(BI57,'WEG Motor'!$A$3:$A$55,0),
       MATCH(BJ57,'WEG Motor'!$B$2:$AZ$2,0))%</f>
        <v>#N/A</v>
      </c>
      <c r="BL57" s="161">
        <v>0.92</v>
      </c>
      <c r="BM57" s="161"/>
      <c r="BN57" s="162"/>
      <c r="BO57" s="163" t="e">
        <f>ROUND(((($BT$6*$BW$5*(C52*0.001)*D57)/1000)/BM57), 2)</f>
        <v>#DIV/0!</v>
      </c>
      <c r="BP57" s="22" t="e">
        <f t="shared" si="78"/>
        <v>#DIV/0!</v>
      </c>
      <c r="BQ57" s="242" t="e">
        <f t="shared" si="79"/>
        <v>#DIV/0!</v>
      </c>
      <c r="BR57" s="193"/>
    </row>
    <row r="58" spans="1:70" ht="15" thickBot="1" x14ac:dyDescent="0.35">
      <c r="A58" s="310"/>
      <c r="B58" s="310"/>
      <c r="C58" s="313"/>
      <c r="D58" s="165">
        <v>45</v>
      </c>
      <c r="E58" s="168"/>
      <c r="F58" s="169"/>
      <c r="G58" s="169"/>
      <c r="H58" s="170" t="e">
        <f>INDEX('WEG Motor'!$B$3:$AZ$55,
       MATCH(F58,'WEG Motor'!$A$3:$A$55,0),
       MATCH(G58,'WEG Motor'!$B$2:$AZ$2,0))%</f>
        <v>#N/A</v>
      </c>
      <c r="I58" s="170">
        <v>0.92</v>
      </c>
      <c r="J58" s="284"/>
      <c r="K58" s="171"/>
      <c r="L58" s="287" t="e">
        <f>ROUND(((($BT$6*$BW$5*(C52*0.001)*D58)/1000)/J58), 2)</f>
        <v>#DIV/0!</v>
      </c>
      <c r="M58" s="169" t="e">
        <f t="shared" si="73"/>
        <v>#DIV/0!</v>
      </c>
      <c r="N58" s="247" t="e">
        <f t="shared" si="14"/>
        <v>#DIV/0!</v>
      </c>
      <c r="O58" s="172"/>
      <c r="P58" s="213" t="s">
        <v>140</v>
      </c>
      <c r="Q58" s="194">
        <v>45</v>
      </c>
      <c r="R58" s="194" t="s">
        <v>35</v>
      </c>
      <c r="S58" s="195">
        <f>INDEX('WEG Motor'!$B$3:$AZ$55,
       MATCH(Q58,'WEG Motor'!$A$3:$A$55,0),
       MATCH(R58,'WEG Motor'!$B$2:$AZ$2,0))%</f>
        <v>0.94200000000000006</v>
      </c>
      <c r="T58" s="195">
        <v>0.92</v>
      </c>
      <c r="U58" s="195">
        <v>0.81379999999999997</v>
      </c>
      <c r="V58" s="196">
        <v>2.492</v>
      </c>
      <c r="W58" s="140">
        <f>ROUND(((($BT$6*$BW$5*(C52*0.001)*D58)/1000)/U58), 2)</f>
        <v>39.049999999999997</v>
      </c>
      <c r="X58" s="194">
        <f t="shared" si="74"/>
        <v>41.45</v>
      </c>
      <c r="Y58" s="246">
        <f t="shared" si="15"/>
        <v>45.05</v>
      </c>
      <c r="Z58" s="214"/>
      <c r="AA58" s="219"/>
      <c r="AB58" s="197"/>
      <c r="AC58" s="197"/>
      <c r="AD58" s="198" t="e">
        <f>INDEX('WEG Motor'!$B$3:$AZ$55,
       MATCH(AB58,'WEG Motor'!$A$3:$A$55,0),
       MATCH(AC58,'WEG Motor'!$B$2:$AZ$2,0))%</f>
        <v>#N/A</v>
      </c>
      <c r="AE58" s="198">
        <v>0.92</v>
      </c>
      <c r="AF58" s="198"/>
      <c r="AG58" s="199"/>
      <c r="AH58" s="141" t="e">
        <f>ROUND(((($BT$6*$BW$5*(C52*0.001)*D58)/1000)/AF58), 2)</f>
        <v>#DIV/0!</v>
      </c>
      <c r="AI58" s="197" t="e">
        <f t="shared" si="75"/>
        <v>#DIV/0!</v>
      </c>
      <c r="AJ58" s="245" t="e">
        <f t="shared" si="16"/>
        <v>#DIV/0!</v>
      </c>
      <c r="AK58" s="220"/>
      <c r="AL58" s="225"/>
      <c r="AM58" s="200"/>
      <c r="AN58" s="200"/>
      <c r="AO58" s="201" t="e">
        <f>INDEX('WEG Motor'!$B$3:$AZ$55,
       MATCH(AM58,'WEG Motor'!$A$3:$A$55,0),
       MATCH(AN58,'WEG Motor'!$B$2:$AZ$2,0))%</f>
        <v>#N/A</v>
      </c>
      <c r="AP58" s="201">
        <v>0.92</v>
      </c>
      <c r="AQ58" s="201"/>
      <c r="AR58" s="202"/>
      <c r="AS58" s="142" t="e">
        <f>ROUND(((($BT$6*$BW$5*(C52*0.001)*D58)/1000)/AQ58), 2)</f>
        <v>#DIV/0!</v>
      </c>
      <c r="AT58" s="200" t="e">
        <f t="shared" si="76"/>
        <v>#DIV/0!</v>
      </c>
      <c r="AU58" s="244" t="e">
        <f t="shared" si="17"/>
        <v>#DIV/0!</v>
      </c>
      <c r="AV58" s="226"/>
      <c r="AW58" s="231"/>
      <c r="AX58" s="203"/>
      <c r="AY58" s="203"/>
      <c r="AZ58" s="204" t="e">
        <f>INDEX('WEG Motor'!$B$3:$AZ$55,
       MATCH(AX58,'WEG Motor'!$A$3:$A$55,0),
       MATCH(AY58,'WEG Motor'!$B$2:$AZ$2,0))%</f>
        <v>#N/A</v>
      </c>
      <c r="BA58" s="204">
        <v>0.92</v>
      </c>
      <c r="BB58" s="204"/>
      <c r="BC58" s="205"/>
      <c r="BD58" s="143" t="e">
        <f>ROUND(((($BT$6*$BW$5*(C52*0.001)*D58)/1000)/BB58), 2)</f>
        <v>#DIV/0!</v>
      </c>
      <c r="BE58" s="203" t="e">
        <f t="shared" si="77"/>
        <v>#DIV/0!</v>
      </c>
      <c r="BF58" s="243" t="e">
        <f t="shared" si="18"/>
        <v>#DIV/0!</v>
      </c>
      <c r="BG58" s="232"/>
      <c r="BH58" s="235"/>
      <c r="BI58" s="66"/>
      <c r="BJ58" s="66"/>
      <c r="BK58" s="206" t="e">
        <f>INDEX('WEG Motor'!$B$3:$AZ$55,
       MATCH(BI58,'WEG Motor'!$A$3:$A$55,0),
       MATCH(BJ58,'WEG Motor'!$B$2:$AZ$2,0))%</f>
        <v>#N/A</v>
      </c>
      <c r="BL58" s="206">
        <v>0.92</v>
      </c>
      <c r="BM58" s="206"/>
      <c r="BN58" s="207"/>
      <c r="BO58" s="144" t="e">
        <f>ROUND(((($BT$6*$BW$5*(C52*0.001)*D58)/1000)/BM58), 2)</f>
        <v>#DIV/0!</v>
      </c>
      <c r="BP58" s="292" t="e">
        <f t="shared" si="78"/>
        <v>#DIV/0!</v>
      </c>
      <c r="BQ58" s="293" t="e">
        <f t="shared" si="79"/>
        <v>#DIV/0!</v>
      </c>
      <c r="BR58" s="208"/>
    </row>
    <row r="59" spans="1:70" x14ac:dyDescent="0.3">
      <c r="A59" s="308">
        <v>8</v>
      </c>
      <c r="B59" s="308">
        <v>650</v>
      </c>
      <c r="C59" s="311">
        <f>ROUND((B59 * $BW$7 * 1000) / ($BT$6 * $BW$3 * $BW$4), 0)</f>
        <v>78</v>
      </c>
      <c r="D59" s="145">
        <v>15</v>
      </c>
      <c r="E59" s="173"/>
      <c r="F59" s="53"/>
      <c r="G59" s="53"/>
      <c r="H59" s="174" t="e">
        <f>INDEX('WEG Motor'!$B$3:$AZ$55,
       MATCH(F59,'WEG Motor'!$A$3:$A$55,0),
       MATCH(G59,'WEG Motor'!$B$2:$AZ$2,0))%</f>
        <v>#N/A</v>
      </c>
      <c r="I59" s="174">
        <v>0.92</v>
      </c>
      <c r="J59" s="282"/>
      <c r="K59" s="175"/>
      <c r="L59" s="285" t="e">
        <f t="shared" ref="L59" si="81">ROUND(((($BT$6*$BW$5*(C59*0.001)*D59)/1000)/J59), 2)</f>
        <v>#DIV/0!</v>
      </c>
      <c r="M59" s="53" t="e">
        <f>ROUND((L59/H59),2)</f>
        <v>#DIV/0!</v>
      </c>
      <c r="N59" s="236" t="e">
        <f t="shared" si="14"/>
        <v>#DIV/0!</v>
      </c>
      <c r="O59" s="176"/>
      <c r="P59" s="209" t="s">
        <v>142</v>
      </c>
      <c r="Q59" s="177">
        <v>22</v>
      </c>
      <c r="R59" s="177" t="s">
        <v>35</v>
      </c>
      <c r="S59" s="178">
        <f>INDEX('WEG Motor'!$B$3:$AZ$55,
       MATCH(Q59,'WEG Motor'!$A$3:$A$55,0),
       MATCH(R59,'WEG Motor'!$B$2:$AZ$2,0))%</f>
        <v>0.93099999999999994</v>
      </c>
      <c r="T59" s="178">
        <v>0.92</v>
      </c>
      <c r="U59" s="178">
        <v>0.8427</v>
      </c>
      <c r="V59" s="179">
        <v>2.7919999999999998</v>
      </c>
      <c r="W59" s="297">
        <f>ROUND(((($BT$6*$BW$5*(C59*0.001)*D59)/1000)/U59), 2)</f>
        <v>13.62</v>
      </c>
      <c r="X59" s="177">
        <f>ROUND((W59/S59),2)</f>
        <v>14.63</v>
      </c>
      <c r="Y59" s="276">
        <f t="shared" si="15"/>
        <v>15.9</v>
      </c>
      <c r="Z59" s="210"/>
      <c r="AA59" s="215"/>
      <c r="AB59" s="180"/>
      <c r="AC59" s="180"/>
      <c r="AD59" s="181" t="e">
        <f>INDEX('WEG Motor'!$B$3:$AZ$55,
       MATCH(AB59,'WEG Motor'!$A$3:$A$55,0),
       MATCH(AC59,'WEG Motor'!$B$2:$AZ$2,0))%</f>
        <v>#N/A</v>
      </c>
      <c r="AE59" s="181">
        <v>0.92</v>
      </c>
      <c r="AF59" s="181"/>
      <c r="AG59" s="182"/>
      <c r="AH59" s="296" t="e">
        <f>ROUND(((($BT$6*$BW$5*(C59*0.001)*D59)/1000)/AF59), 2)</f>
        <v>#DIV/0!</v>
      </c>
      <c r="AI59" s="180" t="e">
        <f>ROUND((AH59/AD59),2)</f>
        <v>#DIV/0!</v>
      </c>
      <c r="AJ59" s="277" t="e">
        <f t="shared" si="16"/>
        <v>#DIV/0!</v>
      </c>
      <c r="AK59" s="216"/>
      <c r="AL59" s="221"/>
      <c r="AM59" s="183"/>
      <c r="AN59" s="183"/>
      <c r="AO59" s="184" t="e">
        <f>INDEX('WEG Motor'!$B$3:$AZ$55,
       MATCH(AM59,'WEG Motor'!$A$3:$A$55,0),
       MATCH(AN59,'WEG Motor'!$B$2:$AZ$2,0))%</f>
        <v>#N/A</v>
      </c>
      <c r="AP59" s="184">
        <v>0.92</v>
      </c>
      <c r="AQ59" s="184"/>
      <c r="AR59" s="185"/>
      <c r="AS59" s="295" t="e">
        <f>ROUND(((($BT$6*$BW$5*(C59*0.001)*D59)/1000)/AQ59), 2)</f>
        <v>#DIV/0!</v>
      </c>
      <c r="AT59" s="183" t="e">
        <f>ROUND((AS59/AO59),2)</f>
        <v>#DIV/0!</v>
      </c>
      <c r="AU59" s="278" t="e">
        <f t="shared" si="17"/>
        <v>#DIV/0!</v>
      </c>
      <c r="AV59" s="222"/>
      <c r="AW59" s="227"/>
      <c r="AX59" s="186"/>
      <c r="AY59" s="186"/>
      <c r="AZ59" s="187" t="e">
        <f>INDEX('WEG Motor'!$B$3:$AZ$55,
       MATCH(AX59,'WEG Motor'!$A$3:$A$55,0),
       MATCH(AY59,'WEG Motor'!$B$2:$AZ$2,0))%</f>
        <v>#N/A</v>
      </c>
      <c r="BA59" s="187">
        <v>0.92</v>
      </c>
      <c r="BB59" s="187"/>
      <c r="BC59" s="188"/>
      <c r="BD59" s="294" t="e">
        <f>ROUND(((($BT$6*$BW$5*(C59*0.001)*D59)/1000)/BB59), 2)</f>
        <v>#DIV/0!</v>
      </c>
      <c r="BE59" s="186" t="e">
        <f>ROUND((BD59/AZ59),2)</f>
        <v>#DIV/0!</v>
      </c>
      <c r="BF59" s="279" t="e">
        <f t="shared" si="18"/>
        <v>#DIV/0!</v>
      </c>
      <c r="BG59" s="228"/>
      <c r="BH59" s="233"/>
      <c r="BI59" s="189"/>
      <c r="BJ59" s="189"/>
      <c r="BK59" s="190" t="e">
        <f>INDEX('WEG Motor'!$B$3:$AZ$55,
       MATCH(BI59,'WEG Motor'!$A$3:$A$55,0),
       MATCH(BJ59,'WEG Motor'!$B$2:$AZ$2,0))%</f>
        <v>#N/A</v>
      </c>
      <c r="BL59" s="190">
        <v>0.92</v>
      </c>
      <c r="BM59" s="190"/>
      <c r="BN59" s="191"/>
      <c r="BO59" s="289" t="e">
        <f>ROUND(((($BT$6*$BW$5*(C59*0.001)*D59)/1000)/BM59), 2)</f>
        <v>#DIV/0!</v>
      </c>
      <c r="BP59" s="290" t="e">
        <f>ROUND((BO59/BK59),2)</f>
        <v>#DIV/0!</v>
      </c>
      <c r="BQ59" s="291" t="e">
        <f>ROUND((BP59/BL59), 2)</f>
        <v>#DIV/0!</v>
      </c>
      <c r="BR59" s="192"/>
    </row>
    <row r="60" spans="1:70" x14ac:dyDescent="0.3">
      <c r="A60" s="309"/>
      <c r="B60" s="309"/>
      <c r="C60" s="312"/>
      <c r="D60" s="164">
        <v>20</v>
      </c>
      <c r="E60" s="166"/>
      <c r="F60" s="146"/>
      <c r="G60" s="146"/>
      <c r="H60" s="147" t="e">
        <f>INDEX('WEG Motor'!$B$3:$AZ$55,
       MATCH(F60,'WEG Motor'!$A$3:$A$55,0),
       MATCH(G60,'WEG Motor'!$B$2:$AZ$2,0))%</f>
        <v>#N/A</v>
      </c>
      <c r="I60" s="147">
        <v>0.92</v>
      </c>
      <c r="J60" s="283"/>
      <c r="K60" s="148"/>
      <c r="L60" s="286" t="e">
        <f>ROUND(((($BT$6*$BW$5*(C59*0.001)*D60)/1000)/J60), 2)</f>
        <v>#DIV/0!</v>
      </c>
      <c r="M60" s="146" t="e">
        <f t="shared" ref="M60:M65" si="82">ROUND((L60/H60),2)</f>
        <v>#DIV/0!</v>
      </c>
      <c r="N60" s="237" t="e">
        <f t="shared" si="14"/>
        <v>#DIV/0!</v>
      </c>
      <c r="O60" s="167"/>
      <c r="P60" s="211" t="s">
        <v>85</v>
      </c>
      <c r="Q60" s="23">
        <v>22</v>
      </c>
      <c r="R60" s="23" t="s">
        <v>35</v>
      </c>
      <c r="S60" s="149">
        <f>INDEX('WEG Motor'!$B$3:$AZ$55,
       MATCH(Q60,'WEG Motor'!$A$3:$A$55,0),
       MATCH(R60,'WEG Motor'!$B$2:$AZ$2,0))%</f>
        <v>0.93099999999999994</v>
      </c>
      <c r="T60" s="149">
        <v>0.92</v>
      </c>
      <c r="U60" s="149">
        <v>0.86619999999999997</v>
      </c>
      <c r="V60" s="150">
        <v>2.911</v>
      </c>
      <c r="W60" s="151">
        <f>ROUND(((($BT$6*$BW$5*(C59*0.001)*D60)/1000)/U60), 2)</f>
        <v>17.66</v>
      </c>
      <c r="X60" s="23">
        <f t="shared" ref="X60:X65" si="83">ROUND((W60/S60),2)</f>
        <v>18.97</v>
      </c>
      <c r="Y60" s="238">
        <f t="shared" si="15"/>
        <v>20.62</v>
      </c>
      <c r="Z60" s="212"/>
      <c r="AA60" s="217"/>
      <c r="AB60" s="24"/>
      <c r="AC60" s="24"/>
      <c r="AD60" s="152" t="e">
        <f>INDEX('WEG Motor'!$B$3:$AZ$55,
       MATCH(AB60,'WEG Motor'!$A$3:$A$55,0),
       MATCH(AC60,'WEG Motor'!$B$2:$AZ$2,0))%</f>
        <v>#N/A</v>
      </c>
      <c r="AE60" s="152">
        <v>0.92</v>
      </c>
      <c r="AF60" s="152"/>
      <c r="AG60" s="153"/>
      <c r="AH60" s="154" t="e">
        <f>ROUND(((($BT$6*$BW$5*(C59*0.001)*D60)/1000)/AF60), 2)</f>
        <v>#DIV/0!</v>
      </c>
      <c r="AI60" s="24" t="e">
        <f t="shared" ref="AI60:AI65" si="84">ROUND((AH60/AD60),2)</f>
        <v>#DIV/0!</v>
      </c>
      <c r="AJ60" s="239" t="e">
        <f t="shared" si="16"/>
        <v>#DIV/0!</v>
      </c>
      <c r="AK60" s="218"/>
      <c r="AL60" s="223"/>
      <c r="AM60" s="25"/>
      <c r="AN60" s="25"/>
      <c r="AO60" s="155" t="e">
        <f>INDEX('WEG Motor'!$B$3:$AZ$55,
       MATCH(AM60,'WEG Motor'!$A$3:$A$55,0),
       MATCH(AN60,'WEG Motor'!$B$2:$AZ$2,0))%</f>
        <v>#N/A</v>
      </c>
      <c r="AP60" s="155">
        <v>0.92</v>
      </c>
      <c r="AQ60" s="155"/>
      <c r="AR60" s="156"/>
      <c r="AS60" s="157" t="e">
        <f>ROUND(((($BT$6*$BW$5*(C59*0.001)*D60)/1000)/AQ60), 2)</f>
        <v>#DIV/0!</v>
      </c>
      <c r="AT60" s="25" t="e">
        <f t="shared" ref="AT60:AT65" si="85">ROUND((AS60/AO60),2)</f>
        <v>#DIV/0!</v>
      </c>
      <c r="AU60" s="240" t="e">
        <f t="shared" si="17"/>
        <v>#DIV/0!</v>
      </c>
      <c r="AV60" s="224"/>
      <c r="AW60" s="229"/>
      <c r="AX60" s="12"/>
      <c r="AY60" s="12"/>
      <c r="AZ60" s="158" t="e">
        <f>INDEX('WEG Motor'!$B$3:$AZ$55,
       MATCH(AX60,'WEG Motor'!$A$3:$A$55,0),
       MATCH(AY60,'WEG Motor'!$B$2:$AZ$2,0))%</f>
        <v>#N/A</v>
      </c>
      <c r="BA60" s="158">
        <v>0.92</v>
      </c>
      <c r="BB60" s="158"/>
      <c r="BC60" s="159"/>
      <c r="BD60" s="160" t="e">
        <f>ROUND(((($BT$6*$BW$5*(C59*0.001)*D60)/1000)/BB60), 2)</f>
        <v>#DIV/0!</v>
      </c>
      <c r="BE60" s="12" t="e">
        <f t="shared" ref="BE60:BE65" si="86">ROUND((BD60/AZ60),2)</f>
        <v>#DIV/0!</v>
      </c>
      <c r="BF60" s="241" t="e">
        <f t="shared" si="18"/>
        <v>#DIV/0!</v>
      </c>
      <c r="BG60" s="230"/>
      <c r="BH60" s="234"/>
      <c r="BI60" s="22"/>
      <c r="BJ60" s="22"/>
      <c r="BK60" s="161" t="e">
        <f>INDEX('WEG Motor'!$B$3:$AZ$55,
       MATCH(BI60,'WEG Motor'!$A$3:$A$55,0),
       MATCH(BJ60,'WEG Motor'!$B$2:$AZ$2,0))%</f>
        <v>#N/A</v>
      </c>
      <c r="BL60" s="161">
        <v>0.92</v>
      </c>
      <c r="BM60" s="161"/>
      <c r="BN60" s="162"/>
      <c r="BO60" s="163" t="e">
        <f>ROUND(((($BT$6*$BW$5*(C59*0.001)*D60)/1000)/BM60), 2)</f>
        <v>#DIV/0!</v>
      </c>
      <c r="BP60" s="22" t="e">
        <f t="shared" ref="BP60:BP65" si="87">ROUND((BO60/BK60),2)</f>
        <v>#DIV/0!</v>
      </c>
      <c r="BQ60" s="242" t="e">
        <f t="shared" ref="BQ60:BQ65" si="88">ROUND((BP60/BL60), 2)</f>
        <v>#DIV/0!</v>
      </c>
      <c r="BR60" s="193"/>
    </row>
    <row r="61" spans="1:70" x14ac:dyDescent="0.3">
      <c r="A61" s="309"/>
      <c r="B61" s="309"/>
      <c r="C61" s="312"/>
      <c r="D61" s="164">
        <v>25</v>
      </c>
      <c r="E61" s="166"/>
      <c r="F61" s="146"/>
      <c r="G61" s="146"/>
      <c r="H61" s="147" t="e">
        <f>INDEX('WEG Motor'!$B$3:$AZ$55,
       MATCH(F61,'WEG Motor'!$A$3:$A$55,0),
       MATCH(G61,'WEG Motor'!$B$2:$AZ$2,0))%</f>
        <v>#N/A</v>
      </c>
      <c r="I61" s="147">
        <v>0.92</v>
      </c>
      <c r="J61" s="283"/>
      <c r="K61" s="148"/>
      <c r="L61" s="286" t="e">
        <f>ROUND(((($BT$6*$BW$5*(C59*0.001)*D61)/1000)/J61), 2)</f>
        <v>#DIV/0!</v>
      </c>
      <c r="M61" s="146" t="e">
        <f t="shared" si="82"/>
        <v>#DIV/0!</v>
      </c>
      <c r="N61" s="237" t="e">
        <f t="shared" si="14"/>
        <v>#DIV/0!</v>
      </c>
      <c r="O61" s="167"/>
      <c r="P61" s="211" t="s">
        <v>56</v>
      </c>
      <c r="Q61" s="23">
        <v>30</v>
      </c>
      <c r="R61" s="23" t="s">
        <v>35</v>
      </c>
      <c r="S61" s="149">
        <f>INDEX('WEG Motor'!$B$3:$AZ$55,
       MATCH(Q61,'WEG Motor'!$A$3:$A$55,0),
       MATCH(R61,'WEG Motor'!$B$2:$AZ$2,0))%</f>
        <v>0.93599999999999994</v>
      </c>
      <c r="T61" s="149">
        <v>0.92</v>
      </c>
      <c r="U61" s="149">
        <v>0.83589999999999998</v>
      </c>
      <c r="V61" s="150">
        <v>3.081</v>
      </c>
      <c r="W61" s="151">
        <f>ROUND(((($BT$6*$BW$5*(C59*0.001)*D61)/1000)/U61), 2)</f>
        <v>22.88</v>
      </c>
      <c r="X61" s="23">
        <f t="shared" si="83"/>
        <v>24.44</v>
      </c>
      <c r="Y61" s="238">
        <f t="shared" si="15"/>
        <v>26.57</v>
      </c>
      <c r="Z61" s="212"/>
      <c r="AA61" s="217"/>
      <c r="AB61" s="24"/>
      <c r="AC61" s="24"/>
      <c r="AD61" s="152" t="e">
        <f>INDEX('WEG Motor'!$B$3:$AZ$55,
       MATCH(AB61,'WEG Motor'!$A$3:$A$55,0),
       MATCH(AC61,'WEG Motor'!$B$2:$AZ$2,0))%</f>
        <v>#N/A</v>
      </c>
      <c r="AE61" s="152">
        <v>0.92</v>
      </c>
      <c r="AF61" s="152"/>
      <c r="AG61" s="153"/>
      <c r="AH61" s="154" t="e">
        <f>ROUND(((($BT$6*$BW$5*(C59*0.001)*D61)/1000)/AF61), 2)</f>
        <v>#DIV/0!</v>
      </c>
      <c r="AI61" s="24" t="e">
        <f t="shared" si="84"/>
        <v>#DIV/0!</v>
      </c>
      <c r="AJ61" s="239" t="e">
        <f t="shared" si="16"/>
        <v>#DIV/0!</v>
      </c>
      <c r="AK61" s="218"/>
      <c r="AL61" s="223"/>
      <c r="AM61" s="25"/>
      <c r="AN61" s="25"/>
      <c r="AO61" s="155" t="e">
        <f>INDEX('WEG Motor'!$B$3:$AZ$55,
       MATCH(AM61,'WEG Motor'!$A$3:$A$55,0),
       MATCH(AN61,'WEG Motor'!$B$2:$AZ$2,0))%</f>
        <v>#N/A</v>
      </c>
      <c r="AP61" s="155">
        <v>0.92</v>
      </c>
      <c r="AQ61" s="155"/>
      <c r="AR61" s="156"/>
      <c r="AS61" s="157" t="e">
        <f>ROUND(((($BT$6*$BW$5*(C59*0.001)*D61)/1000)/AQ61), 2)</f>
        <v>#DIV/0!</v>
      </c>
      <c r="AT61" s="25" t="e">
        <f t="shared" si="85"/>
        <v>#DIV/0!</v>
      </c>
      <c r="AU61" s="240" t="e">
        <f t="shared" si="17"/>
        <v>#DIV/0!</v>
      </c>
      <c r="AV61" s="224"/>
      <c r="AW61" s="229"/>
      <c r="AX61" s="12"/>
      <c r="AY61" s="12"/>
      <c r="AZ61" s="158" t="e">
        <f>INDEX('WEG Motor'!$B$3:$AZ$55,
       MATCH(AX61,'WEG Motor'!$A$3:$A$55,0),
       MATCH(AY61,'WEG Motor'!$B$2:$AZ$2,0))%</f>
        <v>#N/A</v>
      </c>
      <c r="BA61" s="158">
        <v>0.92</v>
      </c>
      <c r="BB61" s="158"/>
      <c r="BC61" s="159"/>
      <c r="BD61" s="160" t="e">
        <f>ROUND(((($BT$6*$BW$5*(C59*0.001)*D61)/1000)/BB61), 2)</f>
        <v>#DIV/0!</v>
      </c>
      <c r="BE61" s="12" t="e">
        <f t="shared" si="86"/>
        <v>#DIV/0!</v>
      </c>
      <c r="BF61" s="241" t="e">
        <f t="shared" si="18"/>
        <v>#DIV/0!</v>
      </c>
      <c r="BG61" s="230"/>
      <c r="BH61" s="234"/>
      <c r="BI61" s="22"/>
      <c r="BJ61" s="22"/>
      <c r="BK61" s="161" t="e">
        <f>INDEX('WEG Motor'!$B$3:$AZ$55,
       MATCH(BI61,'WEG Motor'!$A$3:$A$55,0),
       MATCH(BJ61,'WEG Motor'!$B$2:$AZ$2,0))%</f>
        <v>#N/A</v>
      </c>
      <c r="BL61" s="161">
        <v>0.92</v>
      </c>
      <c r="BM61" s="161"/>
      <c r="BN61" s="162"/>
      <c r="BO61" s="163" t="e">
        <f>ROUND(((($BT$6*$BW$5*(C59*0.001)*D61)/1000)/BM61), 2)</f>
        <v>#DIV/0!</v>
      </c>
      <c r="BP61" s="22" t="e">
        <f t="shared" si="87"/>
        <v>#DIV/0!</v>
      </c>
      <c r="BQ61" s="242" t="e">
        <f t="shared" si="88"/>
        <v>#DIV/0!</v>
      </c>
      <c r="BR61" s="193"/>
    </row>
    <row r="62" spans="1:70" x14ac:dyDescent="0.3">
      <c r="A62" s="309"/>
      <c r="B62" s="309"/>
      <c r="C62" s="312"/>
      <c r="D62" s="164">
        <v>30</v>
      </c>
      <c r="E62" s="166"/>
      <c r="F62" s="146"/>
      <c r="G62" s="146"/>
      <c r="H62" s="147" t="e">
        <f>INDEX('WEG Motor'!$B$3:$AZ$55,
       MATCH(F62,'WEG Motor'!$A$3:$A$55,0),
       MATCH(G62,'WEG Motor'!$B$2:$AZ$2,0))%</f>
        <v>#N/A</v>
      </c>
      <c r="I62" s="147">
        <v>0.92</v>
      </c>
      <c r="J62" s="283"/>
      <c r="K62" s="148"/>
      <c r="L62" s="286" t="e">
        <f>ROUND(((($BT$6*$BW$5*(C59*0.001)*D62)/1000)/J62), 2)</f>
        <v>#DIV/0!</v>
      </c>
      <c r="M62" s="146" t="e">
        <f t="shared" si="82"/>
        <v>#DIV/0!</v>
      </c>
      <c r="N62" s="237" t="e">
        <f t="shared" si="14"/>
        <v>#DIV/0!</v>
      </c>
      <c r="O62" s="167"/>
      <c r="P62" s="211" t="s">
        <v>138</v>
      </c>
      <c r="Q62" s="23">
        <v>30</v>
      </c>
      <c r="R62" s="23" t="s">
        <v>35</v>
      </c>
      <c r="S62" s="149">
        <f>INDEX('WEG Motor'!$B$3:$AZ$55,
       MATCH(Q62,'WEG Motor'!$A$3:$A$55,0),
       MATCH(R62,'WEG Motor'!$B$2:$AZ$2,0))%</f>
        <v>0.93599999999999994</v>
      </c>
      <c r="T62" s="149">
        <v>0.92</v>
      </c>
      <c r="U62" s="149">
        <v>0.84940000000000004</v>
      </c>
      <c r="V62" s="150">
        <v>2.8809999999999998</v>
      </c>
      <c r="W62" s="151">
        <f>ROUND(((($BT$6*$BW$5*(C59*0.001)*D62)/1000)/U62), 2)</f>
        <v>27.02</v>
      </c>
      <c r="X62" s="23">
        <f t="shared" si="83"/>
        <v>28.87</v>
      </c>
      <c r="Y62" s="238">
        <f t="shared" si="15"/>
        <v>31.38</v>
      </c>
      <c r="Z62" s="212"/>
      <c r="AA62" s="217"/>
      <c r="AB62" s="24"/>
      <c r="AC62" s="24"/>
      <c r="AD62" s="152" t="e">
        <f>INDEX('WEG Motor'!$B$3:$AZ$55,
       MATCH(AB62,'WEG Motor'!$A$3:$A$55,0),
       MATCH(AC62,'WEG Motor'!$B$2:$AZ$2,0))%</f>
        <v>#N/A</v>
      </c>
      <c r="AE62" s="152">
        <v>0.92</v>
      </c>
      <c r="AF62" s="152"/>
      <c r="AG62" s="153"/>
      <c r="AH62" s="154" t="e">
        <f>ROUND(((($BT$6*$BW$5*(C59*0.001)*D62)/1000)/AF62), 2)</f>
        <v>#DIV/0!</v>
      </c>
      <c r="AI62" s="24" t="e">
        <f t="shared" si="84"/>
        <v>#DIV/0!</v>
      </c>
      <c r="AJ62" s="239" t="e">
        <f t="shared" si="16"/>
        <v>#DIV/0!</v>
      </c>
      <c r="AK62" s="218"/>
      <c r="AL62" s="223"/>
      <c r="AM62" s="25"/>
      <c r="AN62" s="25"/>
      <c r="AO62" s="155" t="e">
        <f>INDEX('WEG Motor'!$B$3:$AZ$55,
       MATCH(AM62,'WEG Motor'!$A$3:$A$55,0),
       MATCH(AN62,'WEG Motor'!$B$2:$AZ$2,0))%</f>
        <v>#N/A</v>
      </c>
      <c r="AP62" s="155">
        <v>0.92</v>
      </c>
      <c r="AQ62" s="155"/>
      <c r="AR62" s="156"/>
      <c r="AS62" s="157" t="e">
        <f>ROUND(((($BT$6*$BW$5*(C59*0.001)*D62)/1000)/AQ62), 2)</f>
        <v>#DIV/0!</v>
      </c>
      <c r="AT62" s="25" t="e">
        <f t="shared" si="85"/>
        <v>#DIV/0!</v>
      </c>
      <c r="AU62" s="240" t="e">
        <f t="shared" si="17"/>
        <v>#DIV/0!</v>
      </c>
      <c r="AV62" s="224"/>
      <c r="AW62" s="229"/>
      <c r="AX62" s="12"/>
      <c r="AY62" s="12"/>
      <c r="AZ62" s="158" t="e">
        <f>INDEX('WEG Motor'!$B$3:$AZ$55,
       MATCH(AX62,'WEG Motor'!$A$3:$A$55,0),
       MATCH(AY62,'WEG Motor'!$B$2:$AZ$2,0))%</f>
        <v>#N/A</v>
      </c>
      <c r="BA62" s="158">
        <v>0.92</v>
      </c>
      <c r="BB62" s="158"/>
      <c r="BC62" s="159"/>
      <c r="BD62" s="160" t="e">
        <f>ROUND(((($BT$6*$BW$5*(C59*0.001)*D62)/1000)/BB62), 2)</f>
        <v>#DIV/0!</v>
      </c>
      <c r="BE62" s="12" t="e">
        <f t="shared" si="86"/>
        <v>#DIV/0!</v>
      </c>
      <c r="BF62" s="241" t="e">
        <f t="shared" si="18"/>
        <v>#DIV/0!</v>
      </c>
      <c r="BG62" s="230"/>
      <c r="BH62" s="234"/>
      <c r="BI62" s="22"/>
      <c r="BJ62" s="22"/>
      <c r="BK62" s="161" t="e">
        <f>INDEX('WEG Motor'!$B$3:$AZ$55,
       MATCH(BI62,'WEG Motor'!$A$3:$A$55,0),
       MATCH(BJ62,'WEG Motor'!$B$2:$AZ$2,0))%</f>
        <v>#N/A</v>
      </c>
      <c r="BL62" s="161">
        <v>0.92</v>
      </c>
      <c r="BM62" s="161"/>
      <c r="BN62" s="162"/>
      <c r="BO62" s="163" t="e">
        <f>ROUND(((($BT$6*$BW$5*(C59*0.001)*D62)/1000)/BM62), 2)</f>
        <v>#DIV/0!</v>
      </c>
      <c r="BP62" s="22" t="e">
        <f t="shared" si="87"/>
        <v>#DIV/0!</v>
      </c>
      <c r="BQ62" s="242" t="e">
        <f t="shared" si="88"/>
        <v>#DIV/0!</v>
      </c>
      <c r="BR62" s="193"/>
    </row>
    <row r="63" spans="1:70" x14ac:dyDescent="0.3">
      <c r="A63" s="309"/>
      <c r="B63" s="309"/>
      <c r="C63" s="312"/>
      <c r="D63" s="164">
        <v>35</v>
      </c>
      <c r="E63" s="166"/>
      <c r="F63" s="146"/>
      <c r="G63" s="146"/>
      <c r="H63" s="147" t="e">
        <f>INDEX('WEG Motor'!$B$3:$AZ$55,
       MATCH(F63,'WEG Motor'!$A$3:$A$55,0),
       MATCH(G63,'WEG Motor'!$B$2:$AZ$2,0))%</f>
        <v>#N/A</v>
      </c>
      <c r="I63" s="147">
        <v>0.92</v>
      </c>
      <c r="J63" s="283"/>
      <c r="K63" s="148"/>
      <c r="L63" s="286" t="e">
        <f t="shared" ref="L63" si="89">ROUND(((($BT$6*$BW$5*(C63*0.001)*D63)/1000)/J63), 2)</f>
        <v>#DIV/0!</v>
      </c>
      <c r="M63" s="146" t="e">
        <f t="shared" si="82"/>
        <v>#DIV/0!</v>
      </c>
      <c r="N63" s="237" t="e">
        <f t="shared" si="14"/>
        <v>#DIV/0!</v>
      </c>
      <c r="O63" s="167"/>
      <c r="P63" s="211" t="s">
        <v>139</v>
      </c>
      <c r="Q63" s="23">
        <v>37</v>
      </c>
      <c r="R63" s="23" t="s">
        <v>35</v>
      </c>
      <c r="S63" s="149">
        <f>INDEX('WEG Motor'!$B$3:$AZ$55,
       MATCH(Q63,'WEG Motor'!$A$3:$A$55,0),
       MATCH(R63,'WEG Motor'!$B$2:$AZ$2,0))%</f>
        <v>0.93900000000000006</v>
      </c>
      <c r="T63" s="149">
        <v>0.92</v>
      </c>
      <c r="U63" s="149">
        <v>0.85219999999999996</v>
      </c>
      <c r="V63" s="150">
        <v>2.8809999999999998</v>
      </c>
      <c r="W63" s="151">
        <f>ROUND(((($BT$6*$BW$5*(C59*0.001)*D63)/1000)/U63), 2)</f>
        <v>31.42</v>
      </c>
      <c r="X63" s="23">
        <f t="shared" si="83"/>
        <v>33.46</v>
      </c>
      <c r="Y63" s="238">
        <f t="shared" si="15"/>
        <v>36.369999999999997</v>
      </c>
      <c r="Z63" s="212"/>
      <c r="AA63" s="217"/>
      <c r="AB63" s="24"/>
      <c r="AC63" s="24"/>
      <c r="AD63" s="152" t="e">
        <f>INDEX('WEG Motor'!$B$3:$AZ$55,
       MATCH(AB63,'WEG Motor'!$A$3:$A$55,0),
       MATCH(AC63,'WEG Motor'!$B$2:$AZ$2,0))%</f>
        <v>#N/A</v>
      </c>
      <c r="AE63" s="152">
        <v>0.92</v>
      </c>
      <c r="AF63" s="152"/>
      <c r="AG63" s="153"/>
      <c r="AH63" s="154" t="e">
        <f>ROUND(((($BT$6*$BW$5*(C59*0.001)*D63)/1000)/AF63), 2)</f>
        <v>#DIV/0!</v>
      </c>
      <c r="AI63" s="24" t="e">
        <f t="shared" si="84"/>
        <v>#DIV/0!</v>
      </c>
      <c r="AJ63" s="239" t="e">
        <f t="shared" si="16"/>
        <v>#DIV/0!</v>
      </c>
      <c r="AK63" s="218"/>
      <c r="AL63" s="223"/>
      <c r="AM63" s="25"/>
      <c r="AN63" s="25"/>
      <c r="AO63" s="155" t="e">
        <f>INDEX('WEG Motor'!$B$3:$AZ$55,
       MATCH(AM63,'WEG Motor'!$A$3:$A$55,0),
       MATCH(AN63,'WEG Motor'!$B$2:$AZ$2,0))%</f>
        <v>#N/A</v>
      </c>
      <c r="AP63" s="155">
        <v>0.92</v>
      </c>
      <c r="AQ63" s="155"/>
      <c r="AR63" s="156"/>
      <c r="AS63" s="157" t="e">
        <f>ROUND(((($BT$6*$BW$5*(C59*0.001)*D63)/1000)/AQ63), 2)</f>
        <v>#DIV/0!</v>
      </c>
      <c r="AT63" s="25" t="e">
        <f t="shared" si="85"/>
        <v>#DIV/0!</v>
      </c>
      <c r="AU63" s="240" t="e">
        <f t="shared" si="17"/>
        <v>#DIV/0!</v>
      </c>
      <c r="AV63" s="224"/>
      <c r="AW63" s="229"/>
      <c r="AX63" s="12"/>
      <c r="AY63" s="12"/>
      <c r="AZ63" s="158" t="e">
        <f>INDEX('WEG Motor'!$B$3:$AZ$55,
       MATCH(AX63,'WEG Motor'!$A$3:$A$55,0),
       MATCH(AY63,'WEG Motor'!$B$2:$AZ$2,0))%</f>
        <v>#N/A</v>
      </c>
      <c r="BA63" s="158">
        <v>0.92</v>
      </c>
      <c r="BB63" s="158"/>
      <c r="BC63" s="159"/>
      <c r="BD63" s="160" t="e">
        <f>ROUND(((($BT$6*$BW$5*(C59*0.001)*D63)/1000)/BB63), 2)</f>
        <v>#DIV/0!</v>
      </c>
      <c r="BE63" s="12" t="e">
        <f t="shared" si="86"/>
        <v>#DIV/0!</v>
      </c>
      <c r="BF63" s="241" t="e">
        <f t="shared" si="18"/>
        <v>#DIV/0!</v>
      </c>
      <c r="BG63" s="230"/>
      <c r="BH63" s="234"/>
      <c r="BI63" s="22"/>
      <c r="BJ63" s="22"/>
      <c r="BK63" s="161" t="e">
        <f>INDEX('WEG Motor'!$B$3:$AZ$55,
       MATCH(BI63,'WEG Motor'!$A$3:$A$55,0),
       MATCH(BJ63,'WEG Motor'!$B$2:$AZ$2,0))%</f>
        <v>#N/A</v>
      </c>
      <c r="BL63" s="161">
        <v>0.92</v>
      </c>
      <c r="BM63" s="161"/>
      <c r="BN63" s="162"/>
      <c r="BO63" s="163" t="e">
        <f>ROUND(((($BT$6*$BW$5*(C59*0.001)*D63)/1000)/BM63), 2)</f>
        <v>#DIV/0!</v>
      </c>
      <c r="BP63" s="22" t="e">
        <f t="shared" si="87"/>
        <v>#DIV/0!</v>
      </c>
      <c r="BQ63" s="242" t="e">
        <f t="shared" si="88"/>
        <v>#DIV/0!</v>
      </c>
      <c r="BR63" s="193"/>
    </row>
    <row r="64" spans="1:70" x14ac:dyDescent="0.3">
      <c r="A64" s="309"/>
      <c r="B64" s="309"/>
      <c r="C64" s="312"/>
      <c r="D64" s="164">
        <v>40</v>
      </c>
      <c r="E64" s="166"/>
      <c r="F64" s="146"/>
      <c r="G64" s="146"/>
      <c r="H64" s="147" t="e">
        <f>INDEX('WEG Motor'!$B$3:$AZ$55,
       MATCH(F64,'WEG Motor'!$A$3:$A$55,0),
       MATCH(G64,'WEG Motor'!$B$2:$AZ$2,0))%</f>
        <v>#N/A</v>
      </c>
      <c r="I64" s="147">
        <v>0.92</v>
      </c>
      <c r="J64" s="283"/>
      <c r="K64" s="148"/>
      <c r="L64" s="286" t="e">
        <f>ROUND(((($BT$6*$BW$5*(C59*0.001)*D64)/1000)/J64), 2)</f>
        <v>#DIV/0!</v>
      </c>
      <c r="M64" s="146" t="e">
        <f t="shared" si="82"/>
        <v>#DIV/0!</v>
      </c>
      <c r="N64" s="237" t="e">
        <f t="shared" si="14"/>
        <v>#DIV/0!</v>
      </c>
      <c r="O64" s="167"/>
      <c r="P64" s="211" t="s">
        <v>143</v>
      </c>
      <c r="Q64" s="23">
        <v>45</v>
      </c>
      <c r="R64" s="23" t="s">
        <v>35</v>
      </c>
      <c r="S64" s="149">
        <f>INDEX('WEG Motor'!$B$3:$AZ$55,
       MATCH(Q64,'WEG Motor'!$A$3:$A$55,0),
       MATCH(R64,'WEG Motor'!$B$2:$AZ$2,0))%</f>
        <v>0.94200000000000006</v>
      </c>
      <c r="T64" s="149">
        <v>0.92</v>
      </c>
      <c r="U64" s="149">
        <v>0.85189999999999999</v>
      </c>
      <c r="V64" s="150">
        <v>2.8809999999999998</v>
      </c>
      <c r="W64" s="151">
        <f>ROUND(((($BT$6*$BW$5*(C59*0.001)*D64)/1000)/U64), 2)</f>
        <v>35.92</v>
      </c>
      <c r="X64" s="23">
        <f t="shared" si="83"/>
        <v>38.130000000000003</v>
      </c>
      <c r="Y64" s="238">
        <f t="shared" si="15"/>
        <v>41.45</v>
      </c>
      <c r="Z64" s="212"/>
      <c r="AA64" s="217"/>
      <c r="AB64" s="24"/>
      <c r="AC64" s="24"/>
      <c r="AD64" s="152" t="e">
        <f>INDEX('WEG Motor'!$B$3:$AZ$55,
       MATCH(AB64,'WEG Motor'!$A$3:$A$55,0),
       MATCH(AC64,'WEG Motor'!$B$2:$AZ$2,0))%</f>
        <v>#N/A</v>
      </c>
      <c r="AE64" s="152">
        <v>0.92</v>
      </c>
      <c r="AF64" s="152"/>
      <c r="AG64" s="153"/>
      <c r="AH64" s="154" t="e">
        <f>ROUND(((($BT$6*$BW$5*(C59*0.001)*D64)/1000)/AF64), 2)</f>
        <v>#DIV/0!</v>
      </c>
      <c r="AI64" s="24" t="e">
        <f t="shared" si="84"/>
        <v>#DIV/0!</v>
      </c>
      <c r="AJ64" s="239" t="e">
        <f t="shared" si="16"/>
        <v>#DIV/0!</v>
      </c>
      <c r="AK64" s="218"/>
      <c r="AL64" s="223"/>
      <c r="AM64" s="25"/>
      <c r="AN64" s="25"/>
      <c r="AO64" s="155" t="e">
        <f>INDEX('WEG Motor'!$B$3:$AZ$55,
       MATCH(AM64,'WEG Motor'!$A$3:$A$55,0),
       MATCH(AN64,'WEG Motor'!$B$2:$AZ$2,0))%</f>
        <v>#N/A</v>
      </c>
      <c r="AP64" s="155">
        <v>0.92</v>
      </c>
      <c r="AQ64" s="155"/>
      <c r="AR64" s="156"/>
      <c r="AS64" s="157" t="e">
        <f>ROUND(((($BT$6*$BW$5*(C59*0.001)*D64)/1000)/AQ64), 2)</f>
        <v>#DIV/0!</v>
      </c>
      <c r="AT64" s="25" t="e">
        <f t="shared" si="85"/>
        <v>#DIV/0!</v>
      </c>
      <c r="AU64" s="240" t="e">
        <f t="shared" si="17"/>
        <v>#DIV/0!</v>
      </c>
      <c r="AV64" s="224"/>
      <c r="AW64" s="229"/>
      <c r="AX64" s="12"/>
      <c r="AY64" s="12"/>
      <c r="AZ64" s="158" t="e">
        <f>INDEX('WEG Motor'!$B$3:$AZ$55,
       MATCH(AX64,'WEG Motor'!$A$3:$A$55,0),
       MATCH(AY64,'WEG Motor'!$B$2:$AZ$2,0))%</f>
        <v>#N/A</v>
      </c>
      <c r="BA64" s="158">
        <v>0.92</v>
      </c>
      <c r="BB64" s="158"/>
      <c r="BC64" s="159"/>
      <c r="BD64" s="160" t="e">
        <f>ROUND(((($BT$6*$BW$5*(C59*0.001)*D64)/1000)/BB64), 2)</f>
        <v>#DIV/0!</v>
      </c>
      <c r="BE64" s="12" t="e">
        <f t="shared" si="86"/>
        <v>#DIV/0!</v>
      </c>
      <c r="BF64" s="241" t="e">
        <f t="shared" si="18"/>
        <v>#DIV/0!</v>
      </c>
      <c r="BG64" s="230"/>
      <c r="BH64" s="234"/>
      <c r="BI64" s="22"/>
      <c r="BJ64" s="22"/>
      <c r="BK64" s="161" t="e">
        <f>INDEX('WEG Motor'!$B$3:$AZ$55,
       MATCH(BI64,'WEG Motor'!$A$3:$A$55,0),
       MATCH(BJ64,'WEG Motor'!$B$2:$AZ$2,0))%</f>
        <v>#N/A</v>
      </c>
      <c r="BL64" s="161">
        <v>0.92</v>
      </c>
      <c r="BM64" s="161"/>
      <c r="BN64" s="162"/>
      <c r="BO64" s="163" t="e">
        <f>ROUND(((($BT$6*$BW$5*(C59*0.001)*D64)/1000)/BM64), 2)</f>
        <v>#DIV/0!</v>
      </c>
      <c r="BP64" s="22" t="e">
        <f t="shared" si="87"/>
        <v>#DIV/0!</v>
      </c>
      <c r="BQ64" s="242" t="e">
        <f t="shared" si="88"/>
        <v>#DIV/0!</v>
      </c>
      <c r="BR64" s="193"/>
    </row>
    <row r="65" spans="1:70" ht="15" thickBot="1" x14ac:dyDescent="0.35">
      <c r="A65" s="310"/>
      <c r="B65" s="310"/>
      <c r="C65" s="313"/>
      <c r="D65" s="165">
        <v>45</v>
      </c>
      <c r="E65" s="168"/>
      <c r="F65" s="169"/>
      <c r="G65" s="169"/>
      <c r="H65" s="170" t="e">
        <f>INDEX('WEG Motor'!$B$3:$AZ$55,
       MATCH(F65,'WEG Motor'!$A$3:$A$55,0),
       MATCH(G65,'WEG Motor'!$B$2:$AZ$2,0))%</f>
        <v>#N/A</v>
      </c>
      <c r="I65" s="170">
        <v>0.92</v>
      </c>
      <c r="J65" s="284"/>
      <c r="K65" s="171"/>
      <c r="L65" s="287" t="e">
        <f>ROUND(((($BT$6*$BW$5*(C59*0.001)*D65)/1000)/J65), 2)</f>
        <v>#DIV/0!</v>
      </c>
      <c r="M65" s="169" t="e">
        <f t="shared" si="82"/>
        <v>#DIV/0!</v>
      </c>
      <c r="N65" s="247" t="e">
        <f t="shared" si="14"/>
        <v>#DIV/0!</v>
      </c>
      <c r="O65" s="172"/>
      <c r="P65" s="213" t="s">
        <v>144</v>
      </c>
      <c r="Q65" s="194">
        <v>55</v>
      </c>
      <c r="R65" s="194" t="s">
        <v>35</v>
      </c>
      <c r="S65" s="195">
        <f>INDEX('WEG Motor'!$B$3:$AZ$55,
       MATCH(Q65,'WEG Motor'!$A$3:$A$55,0),
       MATCH(R65,'WEG Motor'!$B$2:$AZ$2,0))%</f>
        <v>0.94599999999999995</v>
      </c>
      <c r="T65" s="195">
        <v>0.92</v>
      </c>
      <c r="U65" s="195">
        <v>0.82279999999999998</v>
      </c>
      <c r="V65" s="196">
        <v>2.5990000000000002</v>
      </c>
      <c r="W65" s="140">
        <f>ROUND(((($BT$6*$BW$5*(C59*0.001)*D65)/1000)/U65), 2)</f>
        <v>41.84</v>
      </c>
      <c r="X65" s="194">
        <f t="shared" si="83"/>
        <v>44.23</v>
      </c>
      <c r="Y65" s="246">
        <f t="shared" si="15"/>
        <v>48.08</v>
      </c>
      <c r="Z65" s="214"/>
      <c r="AA65" s="219"/>
      <c r="AB65" s="197"/>
      <c r="AC65" s="197"/>
      <c r="AD65" s="198" t="e">
        <f>INDEX('WEG Motor'!$B$3:$AZ$55,
       MATCH(AB65,'WEG Motor'!$A$3:$A$55,0),
       MATCH(AC65,'WEG Motor'!$B$2:$AZ$2,0))%</f>
        <v>#N/A</v>
      </c>
      <c r="AE65" s="198">
        <v>0.92</v>
      </c>
      <c r="AF65" s="198"/>
      <c r="AG65" s="199"/>
      <c r="AH65" s="141" t="e">
        <f>ROUND(((($BT$6*$BW$5*(C59*0.001)*D65)/1000)/AF65), 2)</f>
        <v>#DIV/0!</v>
      </c>
      <c r="AI65" s="197" t="e">
        <f t="shared" si="84"/>
        <v>#DIV/0!</v>
      </c>
      <c r="AJ65" s="245" t="e">
        <f t="shared" si="16"/>
        <v>#DIV/0!</v>
      </c>
      <c r="AK65" s="220"/>
      <c r="AL65" s="225"/>
      <c r="AM65" s="200"/>
      <c r="AN65" s="200"/>
      <c r="AO65" s="201" t="e">
        <f>INDEX('WEG Motor'!$B$3:$AZ$55,
       MATCH(AM65,'WEG Motor'!$A$3:$A$55,0),
       MATCH(AN65,'WEG Motor'!$B$2:$AZ$2,0))%</f>
        <v>#N/A</v>
      </c>
      <c r="AP65" s="201">
        <v>0.92</v>
      </c>
      <c r="AQ65" s="201"/>
      <c r="AR65" s="202"/>
      <c r="AS65" s="142" t="e">
        <f>ROUND(((($BT$6*$BW$5*(C59*0.001)*D65)/1000)/AQ65), 2)</f>
        <v>#DIV/0!</v>
      </c>
      <c r="AT65" s="200" t="e">
        <f t="shared" si="85"/>
        <v>#DIV/0!</v>
      </c>
      <c r="AU65" s="244" t="e">
        <f t="shared" si="17"/>
        <v>#DIV/0!</v>
      </c>
      <c r="AV65" s="226"/>
      <c r="AW65" s="231"/>
      <c r="AX65" s="203"/>
      <c r="AY65" s="203"/>
      <c r="AZ65" s="204" t="e">
        <f>INDEX('WEG Motor'!$B$3:$AZ$55,
       MATCH(AX65,'WEG Motor'!$A$3:$A$55,0),
       MATCH(AY65,'WEG Motor'!$B$2:$AZ$2,0))%</f>
        <v>#N/A</v>
      </c>
      <c r="BA65" s="204">
        <v>0.92</v>
      </c>
      <c r="BB65" s="204"/>
      <c r="BC65" s="205"/>
      <c r="BD65" s="143" t="e">
        <f>ROUND(((($BT$6*$BW$5*(C59*0.001)*D65)/1000)/BB65), 2)</f>
        <v>#DIV/0!</v>
      </c>
      <c r="BE65" s="203" t="e">
        <f t="shared" si="86"/>
        <v>#DIV/0!</v>
      </c>
      <c r="BF65" s="243" t="e">
        <f t="shared" si="18"/>
        <v>#DIV/0!</v>
      </c>
      <c r="BG65" s="232"/>
      <c r="BH65" s="235"/>
      <c r="BI65" s="66"/>
      <c r="BJ65" s="66"/>
      <c r="BK65" s="206" t="e">
        <f>INDEX('WEG Motor'!$B$3:$AZ$55,
       MATCH(BI65,'WEG Motor'!$A$3:$A$55,0),
       MATCH(BJ65,'WEG Motor'!$B$2:$AZ$2,0))%</f>
        <v>#N/A</v>
      </c>
      <c r="BL65" s="206">
        <v>0.92</v>
      </c>
      <c r="BM65" s="206"/>
      <c r="BN65" s="207"/>
      <c r="BO65" s="144" t="e">
        <f>ROUND(((($BT$6*$BW$5*(C59*0.001)*D65)/1000)/BM65), 2)</f>
        <v>#DIV/0!</v>
      </c>
      <c r="BP65" s="292" t="e">
        <f t="shared" si="87"/>
        <v>#DIV/0!</v>
      </c>
      <c r="BQ65" s="293" t="e">
        <f t="shared" si="88"/>
        <v>#DIV/0!</v>
      </c>
      <c r="BR65" s="208"/>
    </row>
    <row r="66" spans="1:70" x14ac:dyDescent="0.3">
      <c r="A66" s="308">
        <v>9</v>
      </c>
      <c r="B66" s="308">
        <v>700</v>
      </c>
      <c r="C66" s="311">
        <f>ROUND((B66 * $BW$7 * 1000) / ($BT$6 * $BW$3 * $BW$4), 0)</f>
        <v>84</v>
      </c>
      <c r="D66" s="145">
        <v>15</v>
      </c>
      <c r="E66" s="173"/>
      <c r="F66" s="53"/>
      <c r="G66" s="53"/>
      <c r="H66" s="174" t="e">
        <f>INDEX('WEG Motor'!$B$3:$AZ$55,
       MATCH(F66,'WEG Motor'!$A$3:$A$55,0),
       MATCH(G66,'WEG Motor'!$B$2:$AZ$2,0))%</f>
        <v>#N/A</v>
      </c>
      <c r="I66" s="174">
        <v>0.92</v>
      </c>
      <c r="J66" s="282"/>
      <c r="K66" s="175"/>
      <c r="L66" s="285" t="e">
        <f t="shared" ref="L66" si="90">ROUND(((($BT$6*$BW$5*(C66*0.001)*D66)/1000)/J66), 2)</f>
        <v>#DIV/0!</v>
      </c>
      <c r="M66" s="53" t="e">
        <f>ROUND((L66/H66),2)</f>
        <v>#DIV/0!</v>
      </c>
      <c r="N66" s="236" t="e">
        <f t="shared" si="14"/>
        <v>#DIV/0!</v>
      </c>
      <c r="O66" s="176"/>
      <c r="P66" s="209" t="s">
        <v>145</v>
      </c>
      <c r="Q66" s="177">
        <v>18.5</v>
      </c>
      <c r="R66" s="177" t="s">
        <v>35</v>
      </c>
      <c r="S66" s="178">
        <f>INDEX('WEG Motor'!$B$3:$AZ$55,
       MATCH(Q66,'WEG Motor'!$A$3:$A$55,0),
       MATCH(R66,'WEG Motor'!$B$2:$AZ$2,0))%</f>
        <v>0.92599999999999993</v>
      </c>
      <c r="T66" s="178">
        <v>0.92</v>
      </c>
      <c r="U66" s="178">
        <v>0.83240000000000003</v>
      </c>
      <c r="V66" s="179">
        <v>3.5710000000000002</v>
      </c>
      <c r="W66" s="297">
        <f>ROUND(((($BT$6*$BW$5*(C66*0.001)*D66)/1000)/U66), 2)</f>
        <v>14.85</v>
      </c>
      <c r="X66" s="177">
        <f>ROUND((W66/S66),2)</f>
        <v>16.04</v>
      </c>
      <c r="Y66" s="276">
        <f t="shared" si="15"/>
        <v>17.43</v>
      </c>
      <c r="Z66" s="210"/>
      <c r="AA66" s="215"/>
      <c r="AB66" s="180"/>
      <c r="AC66" s="180"/>
      <c r="AD66" s="181" t="e">
        <f>INDEX('WEG Motor'!$B$3:$AZ$55,
       MATCH(AB66,'WEG Motor'!$A$3:$A$55,0),
       MATCH(AC66,'WEG Motor'!$B$2:$AZ$2,0))%</f>
        <v>#N/A</v>
      </c>
      <c r="AE66" s="181">
        <v>0.92</v>
      </c>
      <c r="AF66" s="181"/>
      <c r="AG66" s="182"/>
      <c r="AH66" s="296" t="e">
        <f>ROUND(((($BT$6*$BW$5*(C66*0.001)*D66)/1000)/AF66), 2)</f>
        <v>#DIV/0!</v>
      </c>
      <c r="AI66" s="180" t="e">
        <f>ROUND((AH66/AD66),2)</f>
        <v>#DIV/0!</v>
      </c>
      <c r="AJ66" s="277" t="e">
        <f t="shared" si="16"/>
        <v>#DIV/0!</v>
      </c>
      <c r="AK66" s="216"/>
      <c r="AL66" s="221"/>
      <c r="AM66" s="183"/>
      <c r="AN66" s="183"/>
      <c r="AO66" s="184" t="e">
        <f>INDEX('WEG Motor'!$B$3:$AZ$55,
       MATCH(AM66,'WEG Motor'!$A$3:$A$55,0),
       MATCH(AN66,'WEG Motor'!$B$2:$AZ$2,0))%</f>
        <v>#N/A</v>
      </c>
      <c r="AP66" s="184">
        <v>0.92</v>
      </c>
      <c r="AQ66" s="184"/>
      <c r="AR66" s="185"/>
      <c r="AS66" s="295" t="e">
        <f>ROUND(((($BT$6*$BW$5*(C66*0.001)*D66)/1000)/AQ66), 2)</f>
        <v>#DIV/0!</v>
      </c>
      <c r="AT66" s="183" t="e">
        <f>ROUND((AS66/AO66),2)</f>
        <v>#DIV/0!</v>
      </c>
      <c r="AU66" s="278" t="e">
        <f t="shared" si="17"/>
        <v>#DIV/0!</v>
      </c>
      <c r="AV66" s="222"/>
      <c r="AW66" s="227"/>
      <c r="AX66" s="186"/>
      <c r="AY66" s="186"/>
      <c r="AZ66" s="187" t="e">
        <f>INDEX('WEG Motor'!$B$3:$AZ$55,
       MATCH(AX66,'WEG Motor'!$A$3:$A$55,0),
       MATCH(AY66,'WEG Motor'!$B$2:$AZ$2,0))%</f>
        <v>#N/A</v>
      </c>
      <c r="BA66" s="187">
        <v>0.92</v>
      </c>
      <c r="BB66" s="187"/>
      <c r="BC66" s="188"/>
      <c r="BD66" s="294" t="e">
        <f>ROUND(((($BT$6*$BW$5*(C66*0.001)*D66)/1000)/BB66), 2)</f>
        <v>#DIV/0!</v>
      </c>
      <c r="BE66" s="186" t="e">
        <f>ROUND((BD66/AZ66),2)</f>
        <v>#DIV/0!</v>
      </c>
      <c r="BF66" s="279" t="e">
        <f t="shared" si="18"/>
        <v>#DIV/0!</v>
      </c>
      <c r="BG66" s="228"/>
      <c r="BH66" s="233"/>
      <c r="BI66" s="189"/>
      <c r="BJ66" s="189"/>
      <c r="BK66" s="190" t="e">
        <f>INDEX('WEG Motor'!$B$3:$AZ$55,
       MATCH(BI66,'WEG Motor'!$A$3:$A$55,0),
       MATCH(BJ66,'WEG Motor'!$B$2:$AZ$2,0))%</f>
        <v>#N/A</v>
      </c>
      <c r="BL66" s="190">
        <v>0.92</v>
      </c>
      <c r="BM66" s="190"/>
      <c r="BN66" s="191"/>
      <c r="BO66" s="289" t="e">
        <f>ROUND(((($BT$6*$BW$5*(C66*0.001)*D66)/1000)/BM66), 2)</f>
        <v>#DIV/0!</v>
      </c>
      <c r="BP66" s="290" t="e">
        <f>ROUND((BO66/BK66),2)</f>
        <v>#DIV/0!</v>
      </c>
      <c r="BQ66" s="291" t="e">
        <f>ROUND((BP66/BL66), 2)</f>
        <v>#DIV/0!</v>
      </c>
      <c r="BR66" s="192"/>
    </row>
    <row r="67" spans="1:70" x14ac:dyDescent="0.3">
      <c r="A67" s="309"/>
      <c r="B67" s="309"/>
      <c r="C67" s="312"/>
      <c r="D67" s="164">
        <v>20</v>
      </c>
      <c r="E67" s="166"/>
      <c r="F67" s="146"/>
      <c r="G67" s="146"/>
      <c r="H67" s="147" t="e">
        <f>INDEX('WEG Motor'!$B$3:$AZ$55,
       MATCH(F67,'WEG Motor'!$A$3:$A$55,0),
       MATCH(G67,'WEG Motor'!$B$2:$AZ$2,0))%</f>
        <v>#N/A</v>
      </c>
      <c r="I67" s="147">
        <v>0.92</v>
      </c>
      <c r="J67" s="283"/>
      <c r="K67" s="148"/>
      <c r="L67" s="286" t="e">
        <f>ROUND(((($BT$6*$BW$5*(C66*0.001)*D67)/1000)/J67), 2)</f>
        <v>#DIV/0!</v>
      </c>
      <c r="M67" s="146" t="e">
        <f t="shared" ref="M67:M72" si="91">ROUND((L67/H67),2)</f>
        <v>#DIV/0!</v>
      </c>
      <c r="N67" s="237" t="e">
        <f t="shared" si="14"/>
        <v>#DIV/0!</v>
      </c>
      <c r="O67" s="167"/>
      <c r="P67" s="211" t="s">
        <v>85</v>
      </c>
      <c r="Q67" s="23">
        <v>22</v>
      </c>
      <c r="R67" s="23" t="s">
        <v>35</v>
      </c>
      <c r="S67" s="149">
        <f>INDEX('WEG Motor'!$B$3:$AZ$55,
       MATCH(Q67,'WEG Motor'!$A$3:$A$55,0),
       MATCH(R67,'WEG Motor'!$B$2:$AZ$2,0))%</f>
        <v>0.93099999999999994</v>
      </c>
      <c r="T67" s="149">
        <v>0.92</v>
      </c>
      <c r="U67" s="149">
        <v>0.85909999999999997</v>
      </c>
      <c r="V67" s="150">
        <v>3.1309999999999998</v>
      </c>
      <c r="W67" s="151">
        <f>ROUND(((($BT$6*$BW$5*(C66*0.001)*D67)/1000)/U67), 2)</f>
        <v>19.18</v>
      </c>
      <c r="X67" s="23">
        <f t="shared" ref="X67:X72" si="92">ROUND((W67/S67),2)</f>
        <v>20.6</v>
      </c>
      <c r="Y67" s="238">
        <f t="shared" si="15"/>
        <v>22.39</v>
      </c>
      <c r="Z67" s="212"/>
      <c r="AA67" s="217"/>
      <c r="AB67" s="24"/>
      <c r="AC67" s="24"/>
      <c r="AD67" s="152" t="e">
        <f>INDEX('WEG Motor'!$B$3:$AZ$55,
       MATCH(AB67,'WEG Motor'!$A$3:$A$55,0),
       MATCH(AC67,'WEG Motor'!$B$2:$AZ$2,0))%</f>
        <v>#N/A</v>
      </c>
      <c r="AE67" s="152">
        <v>0.92</v>
      </c>
      <c r="AF67" s="152"/>
      <c r="AG67" s="153"/>
      <c r="AH67" s="154" t="e">
        <f>ROUND(((($BT$6*$BW$5*(C66*0.001)*D67)/1000)/AF67), 2)</f>
        <v>#DIV/0!</v>
      </c>
      <c r="AI67" s="24" t="e">
        <f t="shared" ref="AI67:AI72" si="93">ROUND((AH67/AD67),2)</f>
        <v>#DIV/0!</v>
      </c>
      <c r="AJ67" s="239" t="e">
        <f t="shared" si="16"/>
        <v>#DIV/0!</v>
      </c>
      <c r="AK67" s="218"/>
      <c r="AL67" s="223"/>
      <c r="AM67" s="25"/>
      <c r="AN67" s="25"/>
      <c r="AO67" s="155" t="e">
        <f>INDEX('WEG Motor'!$B$3:$AZ$55,
       MATCH(AM67,'WEG Motor'!$A$3:$A$55,0),
       MATCH(AN67,'WEG Motor'!$B$2:$AZ$2,0))%</f>
        <v>#N/A</v>
      </c>
      <c r="AP67" s="155">
        <v>0.92</v>
      </c>
      <c r="AQ67" s="155"/>
      <c r="AR67" s="156"/>
      <c r="AS67" s="157" t="e">
        <f>ROUND(((($BT$6*$BW$5*(C66*0.001)*D67)/1000)/AQ67), 2)</f>
        <v>#DIV/0!</v>
      </c>
      <c r="AT67" s="25" t="e">
        <f t="shared" ref="AT67:AT72" si="94">ROUND((AS67/AO67),2)</f>
        <v>#DIV/0!</v>
      </c>
      <c r="AU67" s="240" t="e">
        <f t="shared" si="17"/>
        <v>#DIV/0!</v>
      </c>
      <c r="AV67" s="224"/>
      <c r="AW67" s="229"/>
      <c r="AX67" s="12"/>
      <c r="AY67" s="12"/>
      <c r="AZ67" s="158" t="e">
        <f>INDEX('WEG Motor'!$B$3:$AZ$55,
       MATCH(AX67,'WEG Motor'!$A$3:$A$55,0),
       MATCH(AY67,'WEG Motor'!$B$2:$AZ$2,0))%</f>
        <v>#N/A</v>
      </c>
      <c r="BA67" s="158">
        <v>0.92</v>
      </c>
      <c r="BB67" s="158"/>
      <c r="BC67" s="159"/>
      <c r="BD67" s="160" t="e">
        <f>ROUND(((($BT$6*$BW$5*(C66*0.001)*D67)/1000)/BB67), 2)</f>
        <v>#DIV/0!</v>
      </c>
      <c r="BE67" s="12" t="e">
        <f t="shared" ref="BE67:BE72" si="95">ROUND((BD67/AZ67),2)</f>
        <v>#DIV/0!</v>
      </c>
      <c r="BF67" s="241" t="e">
        <f t="shared" si="18"/>
        <v>#DIV/0!</v>
      </c>
      <c r="BG67" s="230"/>
      <c r="BH67" s="234"/>
      <c r="BI67" s="22"/>
      <c r="BJ67" s="22"/>
      <c r="BK67" s="161" t="e">
        <f>INDEX('WEG Motor'!$B$3:$AZ$55,
       MATCH(BI67,'WEG Motor'!$A$3:$A$55,0),
       MATCH(BJ67,'WEG Motor'!$B$2:$AZ$2,0))%</f>
        <v>#N/A</v>
      </c>
      <c r="BL67" s="161">
        <v>0.92</v>
      </c>
      <c r="BM67" s="161"/>
      <c r="BN67" s="162"/>
      <c r="BO67" s="163" t="e">
        <f>ROUND(((($BT$6*$BW$5*(C66*0.001)*D67)/1000)/BM67), 2)</f>
        <v>#DIV/0!</v>
      </c>
      <c r="BP67" s="22" t="e">
        <f t="shared" ref="BP67:BP72" si="96">ROUND((BO67/BK67),2)</f>
        <v>#DIV/0!</v>
      </c>
      <c r="BQ67" s="242" t="e">
        <f t="shared" ref="BQ67:BQ72" si="97">ROUND((BP67/BL67), 2)</f>
        <v>#DIV/0!</v>
      </c>
      <c r="BR67" s="193"/>
    </row>
    <row r="68" spans="1:70" x14ac:dyDescent="0.3">
      <c r="A68" s="309"/>
      <c r="B68" s="309"/>
      <c r="C68" s="312"/>
      <c r="D68" s="164">
        <v>25</v>
      </c>
      <c r="E68" s="166"/>
      <c r="F68" s="146"/>
      <c r="G68" s="146"/>
      <c r="H68" s="147" t="e">
        <f>INDEX('WEG Motor'!$B$3:$AZ$55,
       MATCH(F68,'WEG Motor'!$A$3:$A$55,0),
       MATCH(G68,'WEG Motor'!$B$2:$AZ$2,0))%</f>
        <v>#N/A</v>
      </c>
      <c r="I68" s="147">
        <v>0.92</v>
      </c>
      <c r="J68" s="283"/>
      <c r="K68" s="148"/>
      <c r="L68" s="286" t="e">
        <f>ROUND(((($BT$6*$BW$5*(C66*0.001)*D68)/1000)/J68), 2)</f>
        <v>#DIV/0!</v>
      </c>
      <c r="M68" s="146" t="e">
        <f t="shared" si="91"/>
        <v>#DIV/0!</v>
      </c>
      <c r="N68" s="237" t="e">
        <f t="shared" si="14"/>
        <v>#DIV/0!</v>
      </c>
      <c r="O68" s="167"/>
      <c r="P68" s="211" t="s">
        <v>56</v>
      </c>
      <c r="Q68" s="23">
        <v>30</v>
      </c>
      <c r="R68" s="23" t="s">
        <v>35</v>
      </c>
      <c r="S68" s="149">
        <f>INDEX('WEG Motor'!$B$3:$AZ$55,
       MATCH(Q68,'WEG Motor'!$A$3:$A$55,0),
       MATCH(R68,'WEG Motor'!$B$2:$AZ$2,0))%</f>
        <v>0.93599999999999994</v>
      </c>
      <c r="T68" s="149">
        <v>0.92</v>
      </c>
      <c r="U68" s="149">
        <v>0.84889999999999999</v>
      </c>
      <c r="V68" s="150">
        <v>3.1179999999999999</v>
      </c>
      <c r="W68" s="151">
        <f>ROUND(((($BT$6*$BW$5*(C66*0.001)*D68)/1000)/U68), 2)</f>
        <v>24.26</v>
      </c>
      <c r="X68" s="23">
        <f t="shared" si="92"/>
        <v>25.92</v>
      </c>
      <c r="Y68" s="238">
        <f t="shared" si="15"/>
        <v>28.17</v>
      </c>
      <c r="Z68" s="212"/>
      <c r="AA68" s="217"/>
      <c r="AB68" s="24"/>
      <c r="AC68" s="24"/>
      <c r="AD68" s="152" t="e">
        <f>INDEX('WEG Motor'!$B$3:$AZ$55,
       MATCH(AB68,'WEG Motor'!$A$3:$A$55,0),
       MATCH(AC68,'WEG Motor'!$B$2:$AZ$2,0))%</f>
        <v>#N/A</v>
      </c>
      <c r="AE68" s="152">
        <v>0.92</v>
      </c>
      <c r="AF68" s="152"/>
      <c r="AG68" s="153"/>
      <c r="AH68" s="154" t="e">
        <f>ROUND(((($BT$6*$BW$5*(C66*0.001)*D68)/1000)/AF68), 2)</f>
        <v>#DIV/0!</v>
      </c>
      <c r="AI68" s="24" t="e">
        <f t="shared" si="93"/>
        <v>#DIV/0!</v>
      </c>
      <c r="AJ68" s="239" t="e">
        <f t="shared" si="16"/>
        <v>#DIV/0!</v>
      </c>
      <c r="AK68" s="218"/>
      <c r="AL68" s="223"/>
      <c r="AM68" s="25"/>
      <c r="AN68" s="25"/>
      <c r="AO68" s="155" t="e">
        <f>INDEX('WEG Motor'!$B$3:$AZ$55,
       MATCH(AM68,'WEG Motor'!$A$3:$A$55,0),
       MATCH(AN68,'WEG Motor'!$B$2:$AZ$2,0))%</f>
        <v>#N/A</v>
      </c>
      <c r="AP68" s="155">
        <v>0.92</v>
      </c>
      <c r="AQ68" s="155"/>
      <c r="AR68" s="156"/>
      <c r="AS68" s="157" t="e">
        <f>ROUND(((($BT$6*$BW$5*(C66*0.001)*D68)/1000)/AQ68), 2)</f>
        <v>#DIV/0!</v>
      </c>
      <c r="AT68" s="25" t="e">
        <f t="shared" si="94"/>
        <v>#DIV/0!</v>
      </c>
      <c r="AU68" s="240" t="e">
        <f t="shared" si="17"/>
        <v>#DIV/0!</v>
      </c>
      <c r="AV68" s="224"/>
      <c r="AW68" s="229"/>
      <c r="AX68" s="12"/>
      <c r="AY68" s="12"/>
      <c r="AZ68" s="158" t="e">
        <f>INDEX('WEG Motor'!$B$3:$AZ$55,
       MATCH(AX68,'WEG Motor'!$A$3:$A$55,0),
       MATCH(AY68,'WEG Motor'!$B$2:$AZ$2,0))%</f>
        <v>#N/A</v>
      </c>
      <c r="BA68" s="158">
        <v>0.92</v>
      </c>
      <c r="BB68" s="158"/>
      <c r="BC68" s="159"/>
      <c r="BD68" s="160" t="e">
        <f>ROUND(((($BT$6*$BW$5*(C66*0.001)*D68)/1000)/BB68), 2)</f>
        <v>#DIV/0!</v>
      </c>
      <c r="BE68" s="12" t="e">
        <f t="shared" si="95"/>
        <v>#DIV/0!</v>
      </c>
      <c r="BF68" s="241" t="e">
        <f t="shared" si="18"/>
        <v>#DIV/0!</v>
      </c>
      <c r="BG68" s="230"/>
      <c r="BH68" s="234"/>
      <c r="BI68" s="22"/>
      <c r="BJ68" s="22"/>
      <c r="BK68" s="161" t="e">
        <f>INDEX('WEG Motor'!$B$3:$AZ$55,
       MATCH(BI68,'WEG Motor'!$A$3:$A$55,0),
       MATCH(BJ68,'WEG Motor'!$B$2:$AZ$2,0))%</f>
        <v>#N/A</v>
      </c>
      <c r="BL68" s="161">
        <v>0.92</v>
      </c>
      <c r="BM68" s="161"/>
      <c r="BN68" s="162"/>
      <c r="BO68" s="163" t="e">
        <f>ROUND(((($BT$6*$BW$5*(C66*0.001)*D68)/1000)/BM68), 2)</f>
        <v>#DIV/0!</v>
      </c>
      <c r="BP68" s="22" t="e">
        <f t="shared" si="96"/>
        <v>#DIV/0!</v>
      </c>
      <c r="BQ68" s="242" t="e">
        <f t="shared" si="97"/>
        <v>#DIV/0!</v>
      </c>
      <c r="BR68" s="193"/>
    </row>
    <row r="69" spans="1:70" x14ac:dyDescent="0.3">
      <c r="A69" s="309"/>
      <c r="B69" s="309"/>
      <c r="C69" s="312"/>
      <c r="D69" s="164">
        <v>30</v>
      </c>
      <c r="E69" s="166"/>
      <c r="F69" s="146"/>
      <c r="G69" s="146"/>
      <c r="H69" s="147" t="e">
        <f>INDEX('WEG Motor'!$B$3:$AZ$55,
       MATCH(F69,'WEG Motor'!$A$3:$A$55,0),
       MATCH(G69,'WEG Motor'!$B$2:$AZ$2,0))%</f>
        <v>#N/A</v>
      </c>
      <c r="I69" s="147">
        <v>0.92</v>
      </c>
      <c r="J69" s="283"/>
      <c r="K69" s="148"/>
      <c r="L69" s="286" t="e">
        <f>ROUND(((($BT$6*$BW$5*(C66*0.001)*D69)/1000)/J69), 2)</f>
        <v>#DIV/0!</v>
      </c>
      <c r="M69" s="146" t="e">
        <f t="shared" si="91"/>
        <v>#DIV/0!</v>
      </c>
      <c r="N69" s="237" t="e">
        <f t="shared" si="14"/>
        <v>#DIV/0!</v>
      </c>
      <c r="O69" s="167"/>
      <c r="P69" s="211" t="s">
        <v>139</v>
      </c>
      <c r="Q69" s="23">
        <v>37</v>
      </c>
      <c r="R69" s="23" t="s">
        <v>35</v>
      </c>
      <c r="S69" s="149">
        <f>INDEX('WEG Motor'!$B$3:$AZ$55,
       MATCH(Q69,'WEG Motor'!$A$3:$A$55,0),
       MATCH(R69,'WEG Motor'!$B$2:$AZ$2,0))%</f>
        <v>0.93900000000000006</v>
      </c>
      <c r="T69" s="149">
        <v>0.92</v>
      </c>
      <c r="U69" s="149">
        <v>0.84840000000000004</v>
      </c>
      <c r="V69" s="150">
        <v>3.157</v>
      </c>
      <c r="W69" s="151">
        <f>ROUND(((($BT$6*$BW$5*(C66*0.001)*D69)/1000)/U69), 2)</f>
        <v>29.13</v>
      </c>
      <c r="X69" s="23">
        <f t="shared" si="92"/>
        <v>31.02</v>
      </c>
      <c r="Y69" s="238">
        <f t="shared" si="15"/>
        <v>33.72</v>
      </c>
      <c r="Z69" s="212"/>
      <c r="AA69" s="217"/>
      <c r="AB69" s="24"/>
      <c r="AC69" s="24"/>
      <c r="AD69" s="152" t="e">
        <f>INDEX('WEG Motor'!$B$3:$AZ$55,
       MATCH(AB69,'WEG Motor'!$A$3:$A$55,0),
       MATCH(AC69,'WEG Motor'!$B$2:$AZ$2,0))%</f>
        <v>#N/A</v>
      </c>
      <c r="AE69" s="152">
        <v>0.92</v>
      </c>
      <c r="AF69" s="152"/>
      <c r="AG69" s="153"/>
      <c r="AH69" s="154" t="e">
        <f>ROUND(((($BT$6*$BW$5*(C66*0.001)*D69)/1000)/AF69), 2)</f>
        <v>#DIV/0!</v>
      </c>
      <c r="AI69" s="24" t="e">
        <f t="shared" si="93"/>
        <v>#DIV/0!</v>
      </c>
      <c r="AJ69" s="239" t="e">
        <f t="shared" si="16"/>
        <v>#DIV/0!</v>
      </c>
      <c r="AK69" s="218"/>
      <c r="AL69" s="223"/>
      <c r="AM69" s="25"/>
      <c r="AN69" s="25"/>
      <c r="AO69" s="155" t="e">
        <f>INDEX('WEG Motor'!$B$3:$AZ$55,
       MATCH(AM69,'WEG Motor'!$A$3:$A$55,0),
       MATCH(AN69,'WEG Motor'!$B$2:$AZ$2,0))%</f>
        <v>#N/A</v>
      </c>
      <c r="AP69" s="155">
        <v>0.92</v>
      </c>
      <c r="AQ69" s="155"/>
      <c r="AR69" s="156"/>
      <c r="AS69" s="157" t="e">
        <f>ROUND(((($BT$6*$BW$5*(C66*0.001)*D69)/1000)/AQ69), 2)</f>
        <v>#DIV/0!</v>
      </c>
      <c r="AT69" s="25" t="e">
        <f t="shared" si="94"/>
        <v>#DIV/0!</v>
      </c>
      <c r="AU69" s="240" t="e">
        <f t="shared" si="17"/>
        <v>#DIV/0!</v>
      </c>
      <c r="AV69" s="224"/>
      <c r="AW69" s="229"/>
      <c r="AX69" s="12"/>
      <c r="AY69" s="12"/>
      <c r="AZ69" s="158" t="e">
        <f>INDEX('WEG Motor'!$B$3:$AZ$55,
       MATCH(AX69,'WEG Motor'!$A$3:$A$55,0),
       MATCH(AY69,'WEG Motor'!$B$2:$AZ$2,0))%</f>
        <v>#N/A</v>
      </c>
      <c r="BA69" s="158">
        <v>0.92</v>
      </c>
      <c r="BB69" s="158"/>
      <c r="BC69" s="159"/>
      <c r="BD69" s="160" t="e">
        <f>ROUND(((($BT$6*$BW$5*(C66*0.001)*D69)/1000)/BB69), 2)</f>
        <v>#DIV/0!</v>
      </c>
      <c r="BE69" s="12" t="e">
        <f t="shared" si="95"/>
        <v>#DIV/0!</v>
      </c>
      <c r="BF69" s="241" t="e">
        <f t="shared" si="18"/>
        <v>#DIV/0!</v>
      </c>
      <c r="BG69" s="230"/>
      <c r="BH69" s="234"/>
      <c r="BI69" s="22"/>
      <c r="BJ69" s="22"/>
      <c r="BK69" s="161" t="e">
        <f>INDEX('WEG Motor'!$B$3:$AZ$55,
       MATCH(BI69,'WEG Motor'!$A$3:$A$55,0),
       MATCH(BJ69,'WEG Motor'!$B$2:$AZ$2,0))%</f>
        <v>#N/A</v>
      </c>
      <c r="BL69" s="161">
        <v>0.92</v>
      </c>
      <c r="BM69" s="161"/>
      <c r="BN69" s="162"/>
      <c r="BO69" s="163" t="e">
        <f>ROUND(((($BT$6*$BW$5*(C66*0.001)*D69)/1000)/BM69), 2)</f>
        <v>#DIV/0!</v>
      </c>
      <c r="BP69" s="22" t="e">
        <f t="shared" si="96"/>
        <v>#DIV/0!</v>
      </c>
      <c r="BQ69" s="242" t="e">
        <f t="shared" si="97"/>
        <v>#DIV/0!</v>
      </c>
      <c r="BR69" s="193"/>
    </row>
    <row r="70" spans="1:70" x14ac:dyDescent="0.3">
      <c r="A70" s="309"/>
      <c r="B70" s="309"/>
      <c r="C70" s="312"/>
      <c r="D70" s="164">
        <v>35</v>
      </c>
      <c r="E70" s="166"/>
      <c r="F70" s="146"/>
      <c r="G70" s="146"/>
      <c r="H70" s="147" t="e">
        <f>INDEX('WEG Motor'!$B$3:$AZ$55,
       MATCH(F70,'WEG Motor'!$A$3:$A$55,0),
       MATCH(G70,'WEG Motor'!$B$2:$AZ$2,0))%</f>
        <v>#N/A</v>
      </c>
      <c r="I70" s="147">
        <v>0.92</v>
      </c>
      <c r="J70" s="283"/>
      <c r="K70" s="148"/>
      <c r="L70" s="286" t="e">
        <f t="shared" ref="L70" si="98">ROUND(((($BT$6*$BW$5*(C70*0.001)*D70)/1000)/J70), 2)</f>
        <v>#DIV/0!</v>
      </c>
      <c r="M70" s="146" t="e">
        <f t="shared" si="91"/>
        <v>#DIV/0!</v>
      </c>
      <c r="N70" s="237" t="e">
        <f t="shared" si="14"/>
        <v>#DIV/0!</v>
      </c>
      <c r="O70" s="167"/>
      <c r="P70" s="211" t="s">
        <v>139</v>
      </c>
      <c r="Q70" s="23">
        <v>37</v>
      </c>
      <c r="R70" s="23" t="s">
        <v>35</v>
      </c>
      <c r="S70" s="149">
        <f>INDEX('WEG Motor'!$B$3:$AZ$55,
       MATCH(Q70,'WEG Motor'!$A$3:$A$55,0),
       MATCH(R70,'WEG Motor'!$B$2:$AZ$2,0))%</f>
        <v>0.93900000000000006</v>
      </c>
      <c r="T70" s="149">
        <v>0.92</v>
      </c>
      <c r="U70" s="149">
        <v>0.85499999999999998</v>
      </c>
      <c r="V70" s="150">
        <v>3.157</v>
      </c>
      <c r="W70" s="151">
        <f>ROUND(((($BT$6*$BW$5*(C66*0.001)*D70)/1000)/U70), 2)</f>
        <v>33.729999999999997</v>
      </c>
      <c r="X70" s="23">
        <f t="shared" si="92"/>
        <v>35.92</v>
      </c>
      <c r="Y70" s="238">
        <f t="shared" si="15"/>
        <v>39.04</v>
      </c>
      <c r="Z70" s="212"/>
      <c r="AA70" s="217"/>
      <c r="AB70" s="24"/>
      <c r="AC70" s="24"/>
      <c r="AD70" s="152" t="e">
        <f>INDEX('WEG Motor'!$B$3:$AZ$55,
       MATCH(AB70,'WEG Motor'!$A$3:$A$55,0),
       MATCH(AC70,'WEG Motor'!$B$2:$AZ$2,0))%</f>
        <v>#N/A</v>
      </c>
      <c r="AE70" s="152">
        <v>0.92</v>
      </c>
      <c r="AF70" s="152"/>
      <c r="AG70" s="153"/>
      <c r="AH70" s="154" t="e">
        <f>ROUND(((($BT$6*$BW$5*(C66*0.001)*D70)/1000)/AF70), 2)</f>
        <v>#DIV/0!</v>
      </c>
      <c r="AI70" s="24" t="e">
        <f t="shared" si="93"/>
        <v>#DIV/0!</v>
      </c>
      <c r="AJ70" s="239" t="e">
        <f t="shared" si="16"/>
        <v>#DIV/0!</v>
      </c>
      <c r="AK70" s="218"/>
      <c r="AL70" s="223"/>
      <c r="AM70" s="25"/>
      <c r="AN70" s="25"/>
      <c r="AO70" s="155" t="e">
        <f>INDEX('WEG Motor'!$B$3:$AZ$55,
       MATCH(AM70,'WEG Motor'!$A$3:$A$55,0),
       MATCH(AN70,'WEG Motor'!$B$2:$AZ$2,0))%</f>
        <v>#N/A</v>
      </c>
      <c r="AP70" s="155">
        <v>0.92</v>
      </c>
      <c r="AQ70" s="155"/>
      <c r="AR70" s="156"/>
      <c r="AS70" s="157" t="e">
        <f>ROUND(((($BT$6*$BW$5*(C66*0.001)*D70)/1000)/AQ70), 2)</f>
        <v>#DIV/0!</v>
      </c>
      <c r="AT70" s="25" t="e">
        <f t="shared" si="94"/>
        <v>#DIV/0!</v>
      </c>
      <c r="AU70" s="240" t="e">
        <f t="shared" si="17"/>
        <v>#DIV/0!</v>
      </c>
      <c r="AV70" s="224"/>
      <c r="AW70" s="229"/>
      <c r="AX70" s="12"/>
      <c r="AY70" s="12"/>
      <c r="AZ70" s="158" t="e">
        <f>INDEX('WEG Motor'!$B$3:$AZ$55,
       MATCH(AX70,'WEG Motor'!$A$3:$A$55,0),
       MATCH(AY70,'WEG Motor'!$B$2:$AZ$2,0))%</f>
        <v>#N/A</v>
      </c>
      <c r="BA70" s="158">
        <v>0.92</v>
      </c>
      <c r="BB70" s="158"/>
      <c r="BC70" s="159"/>
      <c r="BD70" s="160" t="e">
        <f>ROUND(((($BT$6*$BW$5*(C66*0.001)*D70)/1000)/BB70), 2)</f>
        <v>#DIV/0!</v>
      </c>
      <c r="BE70" s="12" t="e">
        <f t="shared" si="95"/>
        <v>#DIV/0!</v>
      </c>
      <c r="BF70" s="241" t="e">
        <f t="shared" si="18"/>
        <v>#DIV/0!</v>
      </c>
      <c r="BG70" s="230"/>
      <c r="BH70" s="234"/>
      <c r="BI70" s="22"/>
      <c r="BJ70" s="22"/>
      <c r="BK70" s="161" t="e">
        <f>INDEX('WEG Motor'!$B$3:$AZ$55,
       MATCH(BI70,'WEG Motor'!$A$3:$A$55,0),
       MATCH(BJ70,'WEG Motor'!$B$2:$AZ$2,0))%</f>
        <v>#N/A</v>
      </c>
      <c r="BL70" s="161">
        <v>0.92</v>
      </c>
      <c r="BM70" s="161"/>
      <c r="BN70" s="162"/>
      <c r="BO70" s="163" t="e">
        <f>ROUND(((($BT$6*$BW$5*(C66*0.001)*D70)/1000)/BM70), 2)</f>
        <v>#DIV/0!</v>
      </c>
      <c r="BP70" s="22" t="e">
        <f t="shared" si="96"/>
        <v>#DIV/0!</v>
      </c>
      <c r="BQ70" s="242" t="e">
        <f t="shared" si="97"/>
        <v>#DIV/0!</v>
      </c>
      <c r="BR70" s="193"/>
    </row>
    <row r="71" spans="1:70" x14ac:dyDescent="0.3">
      <c r="A71" s="309"/>
      <c r="B71" s="309"/>
      <c r="C71" s="312"/>
      <c r="D71" s="164">
        <v>40</v>
      </c>
      <c r="E71" s="166"/>
      <c r="F71" s="146"/>
      <c r="G71" s="146"/>
      <c r="H71" s="147" t="e">
        <f>INDEX('WEG Motor'!$B$3:$AZ$55,
       MATCH(F71,'WEG Motor'!$A$3:$A$55,0),
       MATCH(G71,'WEG Motor'!$B$2:$AZ$2,0))%</f>
        <v>#N/A</v>
      </c>
      <c r="I71" s="147">
        <v>0.92</v>
      </c>
      <c r="J71" s="283"/>
      <c r="K71" s="148"/>
      <c r="L71" s="286" t="e">
        <f>ROUND(((($BT$6*$BW$5*(C66*0.001)*D71)/1000)/J71), 2)</f>
        <v>#DIV/0!</v>
      </c>
      <c r="M71" s="146" t="e">
        <f t="shared" si="91"/>
        <v>#DIV/0!</v>
      </c>
      <c r="N71" s="237" t="e">
        <f t="shared" si="14"/>
        <v>#DIV/0!</v>
      </c>
      <c r="O71" s="167"/>
      <c r="P71" s="211" t="s">
        <v>140</v>
      </c>
      <c r="Q71" s="23">
        <v>45</v>
      </c>
      <c r="R71" s="23" t="s">
        <v>35</v>
      </c>
      <c r="S71" s="149">
        <f>INDEX('WEG Motor'!$B$3:$AZ$55,
       MATCH(Q71,'WEG Motor'!$A$3:$A$55,0),
       MATCH(R71,'WEG Motor'!$B$2:$AZ$2,0))%</f>
        <v>0.94200000000000006</v>
      </c>
      <c r="T71" s="149">
        <v>0.92</v>
      </c>
      <c r="U71" s="149">
        <v>0.81840000000000002</v>
      </c>
      <c r="V71" s="150">
        <v>2.7549999999999999</v>
      </c>
      <c r="W71" s="151">
        <f>ROUND(((($BT$6*$BW$5*(C66*0.001)*D71)/1000)/U71), 2)</f>
        <v>40.270000000000003</v>
      </c>
      <c r="X71" s="23">
        <f t="shared" si="92"/>
        <v>42.75</v>
      </c>
      <c r="Y71" s="238">
        <f t="shared" si="15"/>
        <v>46.47</v>
      </c>
      <c r="Z71" s="212"/>
      <c r="AA71" s="217"/>
      <c r="AB71" s="24"/>
      <c r="AC71" s="24"/>
      <c r="AD71" s="152" t="e">
        <f>INDEX('WEG Motor'!$B$3:$AZ$55,
       MATCH(AB71,'WEG Motor'!$A$3:$A$55,0),
       MATCH(AC71,'WEG Motor'!$B$2:$AZ$2,0))%</f>
        <v>#N/A</v>
      </c>
      <c r="AE71" s="152">
        <v>0.92</v>
      </c>
      <c r="AF71" s="152"/>
      <c r="AG71" s="153"/>
      <c r="AH71" s="154" t="e">
        <f>ROUND(((($BT$6*$BW$5*(C66*0.001)*D71)/1000)/AF71), 2)</f>
        <v>#DIV/0!</v>
      </c>
      <c r="AI71" s="24" t="e">
        <f t="shared" si="93"/>
        <v>#DIV/0!</v>
      </c>
      <c r="AJ71" s="239" t="e">
        <f t="shared" si="16"/>
        <v>#DIV/0!</v>
      </c>
      <c r="AK71" s="218"/>
      <c r="AL71" s="223"/>
      <c r="AM71" s="25"/>
      <c r="AN71" s="25"/>
      <c r="AO71" s="155" t="e">
        <f>INDEX('WEG Motor'!$B$3:$AZ$55,
       MATCH(AM71,'WEG Motor'!$A$3:$A$55,0),
       MATCH(AN71,'WEG Motor'!$B$2:$AZ$2,0))%</f>
        <v>#N/A</v>
      </c>
      <c r="AP71" s="155">
        <v>0.92</v>
      </c>
      <c r="AQ71" s="155"/>
      <c r="AR71" s="156"/>
      <c r="AS71" s="157" t="e">
        <f>ROUND(((($BT$6*$BW$5*(C66*0.001)*D71)/1000)/AQ71), 2)</f>
        <v>#DIV/0!</v>
      </c>
      <c r="AT71" s="25" t="e">
        <f t="shared" si="94"/>
        <v>#DIV/0!</v>
      </c>
      <c r="AU71" s="240" t="e">
        <f t="shared" si="17"/>
        <v>#DIV/0!</v>
      </c>
      <c r="AV71" s="224"/>
      <c r="AW71" s="229"/>
      <c r="AX71" s="12"/>
      <c r="AY71" s="12"/>
      <c r="AZ71" s="158" t="e">
        <f>INDEX('WEG Motor'!$B$3:$AZ$55,
       MATCH(AX71,'WEG Motor'!$A$3:$A$55,0),
       MATCH(AY71,'WEG Motor'!$B$2:$AZ$2,0))%</f>
        <v>#N/A</v>
      </c>
      <c r="BA71" s="158">
        <v>0.92</v>
      </c>
      <c r="BB71" s="158"/>
      <c r="BC71" s="159"/>
      <c r="BD71" s="160" t="e">
        <f>ROUND(((($BT$6*$BW$5*(C66*0.001)*D71)/1000)/BB71), 2)</f>
        <v>#DIV/0!</v>
      </c>
      <c r="BE71" s="12" t="e">
        <f t="shared" si="95"/>
        <v>#DIV/0!</v>
      </c>
      <c r="BF71" s="241" t="e">
        <f t="shared" si="18"/>
        <v>#DIV/0!</v>
      </c>
      <c r="BG71" s="230"/>
      <c r="BH71" s="234"/>
      <c r="BI71" s="22"/>
      <c r="BJ71" s="22"/>
      <c r="BK71" s="161" t="e">
        <f>INDEX('WEG Motor'!$B$3:$AZ$55,
       MATCH(BI71,'WEG Motor'!$A$3:$A$55,0),
       MATCH(BJ71,'WEG Motor'!$B$2:$AZ$2,0))%</f>
        <v>#N/A</v>
      </c>
      <c r="BL71" s="161">
        <v>0.92</v>
      </c>
      <c r="BM71" s="161"/>
      <c r="BN71" s="162"/>
      <c r="BO71" s="163" t="e">
        <f>ROUND(((($BT$6*$BW$5*(C66*0.001)*D71)/1000)/BM71), 2)</f>
        <v>#DIV/0!</v>
      </c>
      <c r="BP71" s="22" t="e">
        <f t="shared" si="96"/>
        <v>#DIV/0!</v>
      </c>
      <c r="BQ71" s="242" t="e">
        <f t="shared" si="97"/>
        <v>#DIV/0!</v>
      </c>
      <c r="BR71" s="193"/>
    </row>
    <row r="72" spans="1:70" ht="15" thickBot="1" x14ac:dyDescent="0.35">
      <c r="A72" s="310"/>
      <c r="B72" s="310"/>
      <c r="C72" s="313"/>
      <c r="D72" s="165">
        <v>45</v>
      </c>
      <c r="E72" s="168"/>
      <c r="F72" s="169"/>
      <c r="G72" s="169"/>
      <c r="H72" s="170" t="e">
        <f>INDEX('WEG Motor'!$B$3:$AZ$55,
       MATCH(F72,'WEG Motor'!$A$3:$A$55,0),
       MATCH(G72,'WEG Motor'!$B$2:$AZ$2,0))%</f>
        <v>#N/A</v>
      </c>
      <c r="I72" s="170">
        <v>0.92</v>
      </c>
      <c r="J72" s="284"/>
      <c r="K72" s="171"/>
      <c r="L72" s="287" t="e">
        <f>ROUND(((($BT$6*$BW$5*(C66*0.001)*D72)/1000)/J72), 2)</f>
        <v>#DIV/0!</v>
      </c>
      <c r="M72" s="169" t="e">
        <f t="shared" si="91"/>
        <v>#DIV/0!</v>
      </c>
      <c r="N72" s="247" t="e">
        <f t="shared" si="14"/>
        <v>#DIV/0!</v>
      </c>
      <c r="O72" s="172"/>
      <c r="P72" s="213" t="s">
        <v>144</v>
      </c>
      <c r="Q72" s="194">
        <v>55</v>
      </c>
      <c r="R72" s="194" t="s">
        <v>35</v>
      </c>
      <c r="S72" s="195">
        <f>INDEX('WEG Motor'!$B$3:$AZ$55,
       MATCH(Q72,'WEG Motor'!$A$3:$A$55,0),
       MATCH(R72,'WEG Motor'!$B$2:$AZ$2,0))%</f>
        <v>0.94599999999999995</v>
      </c>
      <c r="T72" s="195">
        <v>0.92</v>
      </c>
      <c r="U72" s="195">
        <v>0.82820000000000005</v>
      </c>
      <c r="V72" s="196">
        <v>2.7549999999999999</v>
      </c>
      <c r="W72" s="140">
        <f>ROUND(((($BT$6*$BW$5*(C66*0.001)*D72)/1000)/U72), 2)</f>
        <v>44.76</v>
      </c>
      <c r="X72" s="194">
        <f t="shared" si="92"/>
        <v>47.32</v>
      </c>
      <c r="Y72" s="246">
        <f t="shared" si="15"/>
        <v>51.43</v>
      </c>
      <c r="Z72" s="214"/>
      <c r="AA72" s="219"/>
      <c r="AB72" s="197"/>
      <c r="AC72" s="197"/>
      <c r="AD72" s="198" t="e">
        <f>INDEX('WEG Motor'!$B$3:$AZ$55,
       MATCH(AB72,'WEG Motor'!$A$3:$A$55,0),
       MATCH(AC72,'WEG Motor'!$B$2:$AZ$2,0))%</f>
        <v>#N/A</v>
      </c>
      <c r="AE72" s="198">
        <v>0.92</v>
      </c>
      <c r="AF72" s="198"/>
      <c r="AG72" s="199"/>
      <c r="AH72" s="141" t="e">
        <f>ROUND(((($BT$6*$BW$5*(C66*0.001)*D72)/1000)/AF72), 2)</f>
        <v>#DIV/0!</v>
      </c>
      <c r="AI72" s="197" t="e">
        <f t="shared" si="93"/>
        <v>#DIV/0!</v>
      </c>
      <c r="AJ72" s="245" t="e">
        <f t="shared" si="16"/>
        <v>#DIV/0!</v>
      </c>
      <c r="AK72" s="220"/>
      <c r="AL72" s="225"/>
      <c r="AM72" s="200"/>
      <c r="AN72" s="200"/>
      <c r="AO72" s="201" t="e">
        <f>INDEX('WEG Motor'!$B$3:$AZ$55,
       MATCH(AM72,'WEG Motor'!$A$3:$A$55,0),
       MATCH(AN72,'WEG Motor'!$B$2:$AZ$2,0))%</f>
        <v>#N/A</v>
      </c>
      <c r="AP72" s="201">
        <v>0.92</v>
      </c>
      <c r="AQ72" s="201"/>
      <c r="AR72" s="202"/>
      <c r="AS72" s="142" t="e">
        <f>ROUND(((($BT$6*$BW$5*(C66*0.001)*D72)/1000)/AQ72), 2)</f>
        <v>#DIV/0!</v>
      </c>
      <c r="AT72" s="200" t="e">
        <f t="shared" si="94"/>
        <v>#DIV/0!</v>
      </c>
      <c r="AU72" s="244" t="e">
        <f t="shared" si="17"/>
        <v>#DIV/0!</v>
      </c>
      <c r="AV72" s="226"/>
      <c r="AW72" s="231"/>
      <c r="AX72" s="203"/>
      <c r="AY72" s="203"/>
      <c r="AZ72" s="204" t="e">
        <f>INDEX('WEG Motor'!$B$3:$AZ$55,
       MATCH(AX72,'WEG Motor'!$A$3:$A$55,0),
       MATCH(AY72,'WEG Motor'!$B$2:$AZ$2,0))%</f>
        <v>#N/A</v>
      </c>
      <c r="BA72" s="204">
        <v>0.92</v>
      </c>
      <c r="BB72" s="204"/>
      <c r="BC72" s="205"/>
      <c r="BD72" s="143" t="e">
        <f>ROUND(((($BT$6*$BW$5*(C66*0.001)*D72)/1000)/BB72), 2)</f>
        <v>#DIV/0!</v>
      </c>
      <c r="BE72" s="203" t="e">
        <f t="shared" si="95"/>
        <v>#DIV/0!</v>
      </c>
      <c r="BF72" s="243" t="e">
        <f t="shared" si="18"/>
        <v>#DIV/0!</v>
      </c>
      <c r="BG72" s="232"/>
      <c r="BH72" s="235"/>
      <c r="BI72" s="66"/>
      <c r="BJ72" s="66"/>
      <c r="BK72" s="206" t="e">
        <f>INDEX('WEG Motor'!$B$3:$AZ$55,
       MATCH(BI72,'WEG Motor'!$A$3:$A$55,0),
       MATCH(BJ72,'WEG Motor'!$B$2:$AZ$2,0))%</f>
        <v>#N/A</v>
      </c>
      <c r="BL72" s="206">
        <v>0.92</v>
      </c>
      <c r="BM72" s="206"/>
      <c r="BN72" s="207"/>
      <c r="BO72" s="144" t="e">
        <f>ROUND(((($BT$6*$BW$5*(C66*0.001)*D72)/1000)/BM72), 2)</f>
        <v>#DIV/0!</v>
      </c>
      <c r="BP72" s="292" t="e">
        <f t="shared" si="96"/>
        <v>#DIV/0!</v>
      </c>
      <c r="BQ72" s="293" t="e">
        <f t="shared" si="97"/>
        <v>#DIV/0!</v>
      </c>
      <c r="BR72" s="208"/>
    </row>
    <row r="73" spans="1:70" x14ac:dyDescent="0.3">
      <c r="A73" s="308">
        <v>10</v>
      </c>
      <c r="B73" s="308">
        <v>750</v>
      </c>
      <c r="C73" s="311">
        <f>ROUND((B73 * $BW$7 * 1000) / ($BT$6 * $BW$3 * $BW$4), 0)</f>
        <v>90</v>
      </c>
      <c r="D73" s="145">
        <v>15</v>
      </c>
      <c r="E73" s="173"/>
      <c r="F73" s="53"/>
      <c r="G73" s="53"/>
      <c r="H73" s="174" t="e">
        <f>INDEX('WEG Motor'!$B$3:$AZ$55,
       MATCH(F73,'WEG Motor'!$A$3:$A$55,0),
       MATCH(G73,'WEG Motor'!$B$2:$AZ$2,0))%</f>
        <v>#N/A</v>
      </c>
      <c r="I73" s="174">
        <v>0.92</v>
      </c>
      <c r="J73" s="282"/>
      <c r="K73" s="175"/>
      <c r="L73" s="285" t="e">
        <f t="shared" ref="L73" si="99">ROUND(((($BT$6*$BW$5*(C73*0.001)*D73)/1000)/J73), 2)</f>
        <v>#DIV/0!</v>
      </c>
      <c r="M73" s="53" t="e">
        <f>ROUND((L73/H73),2)</f>
        <v>#DIV/0!</v>
      </c>
      <c r="N73" s="236" t="e">
        <f t="shared" si="14"/>
        <v>#DIV/0!</v>
      </c>
      <c r="O73" s="176"/>
      <c r="P73" s="209" t="s">
        <v>145</v>
      </c>
      <c r="Q73" s="177">
        <v>18.5</v>
      </c>
      <c r="R73" s="177" t="s">
        <v>35</v>
      </c>
      <c r="S73" s="178">
        <f>INDEX('WEG Motor'!$B$3:$AZ$55,
       MATCH(Q73,'WEG Motor'!$A$3:$A$55,0),
       MATCH(R73,'WEG Motor'!$B$2:$AZ$2,0))%</f>
        <v>0.92599999999999993</v>
      </c>
      <c r="T73" s="178">
        <v>0.92</v>
      </c>
      <c r="U73" s="178">
        <v>0.84470000000000001</v>
      </c>
      <c r="V73" s="179">
        <v>3.6709999999999998</v>
      </c>
      <c r="W73" s="297">
        <f>ROUND(((($BT$6*$BW$5*(C73*0.001)*D73)/1000)/U73), 2)</f>
        <v>15.67</v>
      </c>
      <c r="X73" s="177">
        <f>ROUND((W73/S73),2)</f>
        <v>16.920000000000002</v>
      </c>
      <c r="Y73" s="276">
        <f t="shared" si="15"/>
        <v>18.39</v>
      </c>
      <c r="Z73" s="210"/>
      <c r="AA73" s="215"/>
      <c r="AB73" s="180"/>
      <c r="AC73" s="180"/>
      <c r="AD73" s="181" t="e">
        <f>INDEX('WEG Motor'!$B$3:$AZ$55,
       MATCH(AB73,'WEG Motor'!$A$3:$A$55,0),
       MATCH(AC73,'WEG Motor'!$B$2:$AZ$2,0))%</f>
        <v>#N/A</v>
      </c>
      <c r="AE73" s="181">
        <v>0.92</v>
      </c>
      <c r="AF73" s="181"/>
      <c r="AG73" s="182"/>
      <c r="AH73" s="296" t="e">
        <f>ROUND(((($BT$6*$BW$5*(C73*0.001)*D73)/1000)/AF73), 2)</f>
        <v>#DIV/0!</v>
      </c>
      <c r="AI73" s="180" t="e">
        <f>ROUND((AH73/AD73),2)</f>
        <v>#DIV/0!</v>
      </c>
      <c r="AJ73" s="277" t="e">
        <f t="shared" si="16"/>
        <v>#DIV/0!</v>
      </c>
      <c r="AK73" s="216"/>
      <c r="AL73" s="221"/>
      <c r="AM73" s="183"/>
      <c r="AN73" s="183"/>
      <c r="AO73" s="184" t="e">
        <f>INDEX('WEG Motor'!$B$3:$AZ$55,
       MATCH(AM73,'WEG Motor'!$A$3:$A$55,0),
       MATCH(AN73,'WEG Motor'!$B$2:$AZ$2,0))%</f>
        <v>#N/A</v>
      </c>
      <c r="AP73" s="184">
        <v>0.92</v>
      </c>
      <c r="AQ73" s="184"/>
      <c r="AR73" s="185"/>
      <c r="AS73" s="295" t="e">
        <f>ROUND(((($BT$6*$BW$5*(C73*0.001)*D73)/1000)/AQ73), 2)</f>
        <v>#DIV/0!</v>
      </c>
      <c r="AT73" s="183" t="e">
        <f>ROUND((AS73/AO73),2)</f>
        <v>#DIV/0!</v>
      </c>
      <c r="AU73" s="278" t="e">
        <f t="shared" si="17"/>
        <v>#DIV/0!</v>
      </c>
      <c r="AV73" s="222"/>
      <c r="AW73" s="227"/>
      <c r="AX73" s="186"/>
      <c r="AY73" s="186"/>
      <c r="AZ73" s="187" t="e">
        <f>INDEX('WEG Motor'!$B$3:$AZ$55,
       MATCH(AX73,'WEG Motor'!$A$3:$A$55,0),
       MATCH(AY73,'WEG Motor'!$B$2:$AZ$2,0))%</f>
        <v>#N/A</v>
      </c>
      <c r="BA73" s="187">
        <v>0.92</v>
      </c>
      <c r="BB73" s="187"/>
      <c r="BC73" s="188"/>
      <c r="BD73" s="294" t="e">
        <f>ROUND(((($BT$6*$BW$5*(C73*0.001)*D73)/1000)/BB73), 2)</f>
        <v>#DIV/0!</v>
      </c>
      <c r="BE73" s="186" t="e">
        <f>ROUND((BD73/AZ73),2)</f>
        <v>#DIV/0!</v>
      </c>
      <c r="BF73" s="279" t="e">
        <f t="shared" si="18"/>
        <v>#DIV/0!</v>
      </c>
      <c r="BG73" s="228"/>
      <c r="BH73" s="233"/>
      <c r="BI73" s="189"/>
      <c r="BJ73" s="189"/>
      <c r="BK73" s="190" t="e">
        <f>INDEX('WEG Motor'!$B$3:$AZ$55,
       MATCH(BI73,'WEG Motor'!$A$3:$A$55,0),
       MATCH(BJ73,'WEG Motor'!$B$2:$AZ$2,0))%</f>
        <v>#N/A</v>
      </c>
      <c r="BL73" s="190">
        <v>0.92</v>
      </c>
      <c r="BM73" s="190"/>
      <c r="BN73" s="191"/>
      <c r="BO73" s="289" t="e">
        <f>ROUND(((($BT$6*$BW$5*(C73*0.001)*D73)/1000)/BM73), 2)</f>
        <v>#DIV/0!</v>
      </c>
      <c r="BP73" s="290" t="e">
        <f>ROUND((BO73/BK73),2)</f>
        <v>#DIV/0!</v>
      </c>
      <c r="BQ73" s="291" t="e">
        <f>ROUND((BP73/BL73), 2)</f>
        <v>#DIV/0!</v>
      </c>
      <c r="BR73" s="192"/>
    </row>
    <row r="74" spans="1:70" x14ac:dyDescent="0.3">
      <c r="A74" s="309"/>
      <c r="B74" s="309"/>
      <c r="C74" s="312"/>
      <c r="D74" s="164">
        <v>20</v>
      </c>
      <c r="E74" s="166"/>
      <c r="F74" s="146"/>
      <c r="G74" s="146"/>
      <c r="H74" s="147" t="e">
        <f>INDEX('WEG Motor'!$B$3:$AZ$55,
       MATCH(F74,'WEG Motor'!$A$3:$A$55,0),
       MATCH(G74,'WEG Motor'!$B$2:$AZ$2,0))%</f>
        <v>#N/A</v>
      </c>
      <c r="I74" s="147">
        <v>0.92</v>
      </c>
      <c r="J74" s="283"/>
      <c r="K74" s="148"/>
      <c r="L74" s="286" t="e">
        <f>ROUND(((($BT$6*$BW$5*(C73*0.001)*D74)/1000)/J74), 2)</f>
        <v>#DIV/0!</v>
      </c>
      <c r="M74" s="146" t="e">
        <f t="shared" ref="M74:M79" si="100">ROUND((L74/H74),2)</f>
        <v>#DIV/0!</v>
      </c>
      <c r="N74" s="237" t="e">
        <f t="shared" ref="N74:N137" si="101">ROUND((M74/I74), 2)</f>
        <v>#DIV/0!</v>
      </c>
      <c r="O74" s="167"/>
      <c r="P74" s="211" t="s">
        <v>142</v>
      </c>
      <c r="Q74" s="23">
        <v>22</v>
      </c>
      <c r="R74" s="23" t="s">
        <v>35</v>
      </c>
      <c r="S74" s="149">
        <f>INDEX('WEG Motor'!$B$3:$AZ$55,
       MATCH(Q74,'WEG Motor'!$A$3:$A$55,0),
       MATCH(R74,'WEG Motor'!$B$2:$AZ$2,0))%</f>
        <v>0.93099999999999994</v>
      </c>
      <c r="T74" s="149">
        <v>0.92</v>
      </c>
      <c r="U74" s="149">
        <v>0.8538</v>
      </c>
      <c r="V74" s="150">
        <v>3.17</v>
      </c>
      <c r="W74" s="151">
        <f>ROUND(((($BT$6*$BW$5*(C73*0.001)*D74)/1000)/U74), 2)</f>
        <v>20.68</v>
      </c>
      <c r="X74" s="23">
        <f t="shared" ref="X74:X79" si="102">ROUND((W74/S74),2)</f>
        <v>22.21</v>
      </c>
      <c r="Y74" s="238">
        <f t="shared" ref="Y74:Y137" si="103">ROUND((X74/T74), 2)</f>
        <v>24.14</v>
      </c>
      <c r="Z74" s="212"/>
      <c r="AA74" s="217"/>
      <c r="AB74" s="24"/>
      <c r="AC74" s="24"/>
      <c r="AD74" s="152" t="e">
        <f>INDEX('WEG Motor'!$B$3:$AZ$55,
       MATCH(AB74,'WEG Motor'!$A$3:$A$55,0),
       MATCH(AC74,'WEG Motor'!$B$2:$AZ$2,0))%</f>
        <v>#N/A</v>
      </c>
      <c r="AE74" s="152">
        <v>0.92</v>
      </c>
      <c r="AF74" s="152"/>
      <c r="AG74" s="153"/>
      <c r="AH74" s="154" t="e">
        <f>ROUND(((($BT$6*$BW$5*(C73*0.001)*D74)/1000)/AF74), 2)</f>
        <v>#DIV/0!</v>
      </c>
      <c r="AI74" s="24" t="e">
        <f t="shared" ref="AI74:AI79" si="104">ROUND((AH74/AD74),2)</f>
        <v>#DIV/0!</v>
      </c>
      <c r="AJ74" s="239" t="e">
        <f t="shared" ref="AJ74:AJ137" si="105">ROUND((AI74/AE74), 2)</f>
        <v>#DIV/0!</v>
      </c>
      <c r="AK74" s="218"/>
      <c r="AL74" s="223"/>
      <c r="AM74" s="25"/>
      <c r="AN74" s="25"/>
      <c r="AO74" s="155" t="e">
        <f>INDEX('WEG Motor'!$B$3:$AZ$55,
       MATCH(AM74,'WEG Motor'!$A$3:$A$55,0),
       MATCH(AN74,'WEG Motor'!$B$2:$AZ$2,0))%</f>
        <v>#N/A</v>
      </c>
      <c r="AP74" s="155">
        <v>0.92</v>
      </c>
      <c r="AQ74" s="155"/>
      <c r="AR74" s="156"/>
      <c r="AS74" s="157" t="e">
        <f>ROUND(((($BT$6*$BW$5*(C73*0.001)*D74)/1000)/AQ74), 2)</f>
        <v>#DIV/0!</v>
      </c>
      <c r="AT74" s="25" t="e">
        <f t="shared" ref="AT74:AT79" si="106">ROUND((AS74/AO74),2)</f>
        <v>#DIV/0!</v>
      </c>
      <c r="AU74" s="240" t="e">
        <f t="shared" ref="AU74:AU137" si="107">ROUND((AT74/AP74), 2)</f>
        <v>#DIV/0!</v>
      </c>
      <c r="AV74" s="224"/>
      <c r="AW74" s="229"/>
      <c r="AX74" s="12"/>
      <c r="AY74" s="12"/>
      <c r="AZ74" s="158" t="e">
        <f>INDEX('WEG Motor'!$B$3:$AZ$55,
       MATCH(AX74,'WEG Motor'!$A$3:$A$55,0),
       MATCH(AY74,'WEG Motor'!$B$2:$AZ$2,0))%</f>
        <v>#N/A</v>
      </c>
      <c r="BA74" s="158">
        <v>0.92</v>
      </c>
      <c r="BB74" s="158"/>
      <c r="BC74" s="159"/>
      <c r="BD74" s="160" t="e">
        <f>ROUND(((($BT$6*$BW$5*(C73*0.001)*D74)/1000)/BB74), 2)</f>
        <v>#DIV/0!</v>
      </c>
      <c r="BE74" s="12" t="e">
        <f t="shared" ref="BE74:BE79" si="108">ROUND((BD74/AZ74),2)</f>
        <v>#DIV/0!</v>
      </c>
      <c r="BF74" s="241" t="e">
        <f t="shared" ref="BF74:BF137" si="109">ROUND((BE74/BA74), 2)</f>
        <v>#DIV/0!</v>
      </c>
      <c r="BG74" s="230"/>
      <c r="BH74" s="234"/>
      <c r="BI74" s="22"/>
      <c r="BJ74" s="22"/>
      <c r="BK74" s="161" t="e">
        <f>INDEX('WEG Motor'!$B$3:$AZ$55,
       MATCH(BI74,'WEG Motor'!$A$3:$A$55,0),
       MATCH(BJ74,'WEG Motor'!$B$2:$AZ$2,0))%</f>
        <v>#N/A</v>
      </c>
      <c r="BL74" s="161">
        <v>0.92</v>
      </c>
      <c r="BM74" s="161"/>
      <c r="BN74" s="162"/>
      <c r="BO74" s="163" t="e">
        <f>ROUND(((($BT$6*$BW$5*(C73*0.001)*D74)/1000)/BM74), 2)</f>
        <v>#DIV/0!</v>
      </c>
      <c r="BP74" s="22" t="e">
        <f t="shared" ref="BP74:BP79" si="110">ROUND((BO74/BK74),2)</f>
        <v>#DIV/0!</v>
      </c>
      <c r="BQ74" s="242" t="e">
        <f t="shared" ref="BQ74:BQ79" si="111">ROUND((BP74/BL74), 2)</f>
        <v>#DIV/0!</v>
      </c>
      <c r="BR74" s="193"/>
    </row>
    <row r="75" spans="1:70" x14ac:dyDescent="0.3">
      <c r="A75" s="309"/>
      <c r="B75" s="309"/>
      <c r="C75" s="312"/>
      <c r="D75" s="164">
        <v>25</v>
      </c>
      <c r="E75" s="166"/>
      <c r="F75" s="146"/>
      <c r="G75" s="146"/>
      <c r="H75" s="147" t="e">
        <f>INDEX('WEG Motor'!$B$3:$AZ$55,
       MATCH(F75,'WEG Motor'!$A$3:$A$55,0),
       MATCH(G75,'WEG Motor'!$B$2:$AZ$2,0))%</f>
        <v>#N/A</v>
      </c>
      <c r="I75" s="147">
        <v>0.92</v>
      </c>
      <c r="J75" s="283"/>
      <c r="K75" s="148"/>
      <c r="L75" s="286" t="e">
        <f>ROUND(((($BT$6*$BW$5*(C73*0.001)*D75)/1000)/J75), 2)</f>
        <v>#DIV/0!</v>
      </c>
      <c r="M75" s="146" t="e">
        <f t="shared" si="100"/>
        <v>#DIV/0!</v>
      </c>
      <c r="N75" s="237" t="e">
        <f t="shared" si="101"/>
        <v>#DIV/0!</v>
      </c>
      <c r="O75" s="167"/>
      <c r="P75" s="211" t="s">
        <v>56</v>
      </c>
      <c r="Q75" s="23">
        <v>30</v>
      </c>
      <c r="R75" s="23" t="s">
        <v>35</v>
      </c>
      <c r="S75" s="149">
        <f>INDEX('WEG Motor'!$B$3:$AZ$55,
       MATCH(Q75,'WEG Motor'!$A$3:$A$55,0),
       MATCH(R75,'WEG Motor'!$B$2:$AZ$2,0))%</f>
        <v>0.93599999999999994</v>
      </c>
      <c r="T75" s="149">
        <v>0.92</v>
      </c>
      <c r="U75" s="149">
        <v>0.85870000000000002</v>
      </c>
      <c r="V75" s="150">
        <v>3.17</v>
      </c>
      <c r="W75" s="151">
        <f>ROUND(((($BT$6*$BW$5*(C73*0.001)*D75)/1000)/U75), 2)</f>
        <v>25.7</v>
      </c>
      <c r="X75" s="23">
        <f t="shared" si="102"/>
        <v>27.46</v>
      </c>
      <c r="Y75" s="238">
        <f t="shared" si="103"/>
        <v>29.85</v>
      </c>
      <c r="Z75" s="212"/>
      <c r="AA75" s="217"/>
      <c r="AB75" s="24"/>
      <c r="AC75" s="24"/>
      <c r="AD75" s="152" t="e">
        <f>INDEX('WEG Motor'!$B$3:$AZ$55,
       MATCH(AB75,'WEG Motor'!$A$3:$A$55,0),
       MATCH(AC75,'WEG Motor'!$B$2:$AZ$2,0))%</f>
        <v>#N/A</v>
      </c>
      <c r="AE75" s="152">
        <v>0.92</v>
      </c>
      <c r="AF75" s="152"/>
      <c r="AG75" s="153"/>
      <c r="AH75" s="154" t="e">
        <f>ROUND(((($BT$6*$BW$5*(C73*0.001)*D75)/1000)/AF75), 2)</f>
        <v>#DIV/0!</v>
      </c>
      <c r="AI75" s="24" t="e">
        <f t="shared" si="104"/>
        <v>#DIV/0!</v>
      </c>
      <c r="AJ75" s="239" t="e">
        <f t="shared" si="105"/>
        <v>#DIV/0!</v>
      </c>
      <c r="AK75" s="218"/>
      <c r="AL75" s="223"/>
      <c r="AM75" s="25"/>
      <c r="AN75" s="25"/>
      <c r="AO75" s="155" t="e">
        <f>INDEX('WEG Motor'!$B$3:$AZ$55,
       MATCH(AM75,'WEG Motor'!$A$3:$A$55,0),
       MATCH(AN75,'WEG Motor'!$B$2:$AZ$2,0))%</f>
        <v>#N/A</v>
      </c>
      <c r="AP75" s="155">
        <v>0.92</v>
      </c>
      <c r="AQ75" s="155"/>
      <c r="AR75" s="156"/>
      <c r="AS75" s="157" t="e">
        <f>ROUND(((($BT$6*$BW$5*(C73*0.001)*D75)/1000)/AQ75), 2)</f>
        <v>#DIV/0!</v>
      </c>
      <c r="AT75" s="25" t="e">
        <f t="shared" si="106"/>
        <v>#DIV/0!</v>
      </c>
      <c r="AU75" s="240" t="e">
        <f t="shared" si="107"/>
        <v>#DIV/0!</v>
      </c>
      <c r="AV75" s="224"/>
      <c r="AW75" s="229"/>
      <c r="AX75" s="12"/>
      <c r="AY75" s="12"/>
      <c r="AZ75" s="158" t="e">
        <f>INDEX('WEG Motor'!$B$3:$AZ$55,
       MATCH(AX75,'WEG Motor'!$A$3:$A$55,0),
       MATCH(AY75,'WEG Motor'!$B$2:$AZ$2,0))%</f>
        <v>#N/A</v>
      </c>
      <c r="BA75" s="158">
        <v>0.92</v>
      </c>
      <c r="BB75" s="158"/>
      <c r="BC75" s="159"/>
      <c r="BD75" s="160" t="e">
        <f>ROUND(((($BT$6*$BW$5*(C73*0.001)*D75)/1000)/BB75), 2)</f>
        <v>#DIV/0!</v>
      </c>
      <c r="BE75" s="12" t="e">
        <f t="shared" si="108"/>
        <v>#DIV/0!</v>
      </c>
      <c r="BF75" s="241" t="e">
        <f t="shared" si="109"/>
        <v>#DIV/0!</v>
      </c>
      <c r="BG75" s="230"/>
      <c r="BH75" s="234"/>
      <c r="BI75" s="22"/>
      <c r="BJ75" s="22"/>
      <c r="BK75" s="161" t="e">
        <f>INDEX('WEG Motor'!$B$3:$AZ$55,
       MATCH(BI75,'WEG Motor'!$A$3:$A$55,0),
       MATCH(BJ75,'WEG Motor'!$B$2:$AZ$2,0))%</f>
        <v>#N/A</v>
      </c>
      <c r="BL75" s="161">
        <v>0.92</v>
      </c>
      <c r="BM75" s="161"/>
      <c r="BN75" s="162"/>
      <c r="BO75" s="163" t="e">
        <f>ROUND(((($BT$6*$BW$5*(C73*0.001)*D75)/1000)/BM75), 2)</f>
        <v>#DIV/0!</v>
      </c>
      <c r="BP75" s="22" t="e">
        <f t="shared" si="110"/>
        <v>#DIV/0!</v>
      </c>
      <c r="BQ75" s="242" t="e">
        <f t="shared" si="111"/>
        <v>#DIV/0!</v>
      </c>
      <c r="BR75" s="193"/>
    </row>
    <row r="76" spans="1:70" x14ac:dyDescent="0.3">
      <c r="A76" s="309"/>
      <c r="B76" s="309"/>
      <c r="C76" s="312"/>
      <c r="D76" s="164">
        <v>30</v>
      </c>
      <c r="E76" s="166"/>
      <c r="F76" s="146"/>
      <c r="G76" s="146"/>
      <c r="H76" s="147" t="e">
        <f>INDEX('WEG Motor'!$B$3:$AZ$55,
       MATCH(F76,'WEG Motor'!$A$3:$A$55,0),
       MATCH(G76,'WEG Motor'!$B$2:$AZ$2,0))%</f>
        <v>#N/A</v>
      </c>
      <c r="I76" s="147">
        <v>0.92</v>
      </c>
      <c r="J76" s="283"/>
      <c r="K76" s="148"/>
      <c r="L76" s="286" t="e">
        <f>ROUND(((($BT$6*$BW$5*(C73*0.001)*D76)/1000)/J76), 2)</f>
        <v>#DIV/0!</v>
      </c>
      <c r="M76" s="146" t="e">
        <f t="shared" si="100"/>
        <v>#DIV/0!</v>
      </c>
      <c r="N76" s="237" t="e">
        <f t="shared" si="101"/>
        <v>#DIV/0!</v>
      </c>
      <c r="O76" s="167"/>
      <c r="P76" s="211" t="s">
        <v>63</v>
      </c>
      <c r="Q76" s="23">
        <v>37</v>
      </c>
      <c r="R76" s="23" t="s">
        <v>35</v>
      </c>
      <c r="S76" s="149">
        <f>INDEX('WEG Motor'!$B$3:$AZ$55,
       MATCH(Q76,'WEG Motor'!$A$3:$A$55,0),
       MATCH(R76,'WEG Motor'!$B$2:$AZ$2,0))%</f>
        <v>0.93900000000000006</v>
      </c>
      <c r="T76" s="149">
        <v>0.92</v>
      </c>
      <c r="U76" s="149">
        <v>0.85150000000000003</v>
      </c>
      <c r="V76" s="150">
        <v>3.17</v>
      </c>
      <c r="W76" s="151">
        <f>ROUND(((($BT$6*$BW$5*(C73*0.001)*D76)/1000)/U76), 2)</f>
        <v>31.1</v>
      </c>
      <c r="X76" s="23">
        <f t="shared" si="102"/>
        <v>33.119999999999997</v>
      </c>
      <c r="Y76" s="238">
        <f t="shared" si="103"/>
        <v>36</v>
      </c>
      <c r="Z76" s="212"/>
      <c r="AA76" s="217"/>
      <c r="AB76" s="24"/>
      <c r="AC76" s="24"/>
      <c r="AD76" s="152" t="e">
        <f>INDEX('WEG Motor'!$B$3:$AZ$55,
       MATCH(AB76,'WEG Motor'!$A$3:$A$55,0),
       MATCH(AC76,'WEG Motor'!$B$2:$AZ$2,0))%</f>
        <v>#N/A</v>
      </c>
      <c r="AE76" s="152">
        <v>0.92</v>
      </c>
      <c r="AF76" s="152"/>
      <c r="AG76" s="153"/>
      <c r="AH76" s="154" t="e">
        <f>ROUND(((($BT$6*$BW$5*(C73*0.001)*D76)/1000)/AF76), 2)</f>
        <v>#DIV/0!</v>
      </c>
      <c r="AI76" s="24" t="e">
        <f t="shared" si="104"/>
        <v>#DIV/0!</v>
      </c>
      <c r="AJ76" s="239" t="e">
        <f t="shared" si="105"/>
        <v>#DIV/0!</v>
      </c>
      <c r="AK76" s="218"/>
      <c r="AL76" s="223"/>
      <c r="AM76" s="25"/>
      <c r="AN76" s="25"/>
      <c r="AO76" s="155" t="e">
        <f>INDEX('WEG Motor'!$B$3:$AZ$55,
       MATCH(AM76,'WEG Motor'!$A$3:$A$55,0),
       MATCH(AN76,'WEG Motor'!$B$2:$AZ$2,0))%</f>
        <v>#N/A</v>
      </c>
      <c r="AP76" s="155">
        <v>0.92</v>
      </c>
      <c r="AQ76" s="155"/>
      <c r="AR76" s="156"/>
      <c r="AS76" s="157" t="e">
        <f>ROUND(((($BT$6*$BW$5*(C73*0.001)*D76)/1000)/AQ76), 2)</f>
        <v>#DIV/0!</v>
      </c>
      <c r="AT76" s="25" t="e">
        <f t="shared" si="106"/>
        <v>#DIV/0!</v>
      </c>
      <c r="AU76" s="240" t="e">
        <f t="shared" si="107"/>
        <v>#DIV/0!</v>
      </c>
      <c r="AV76" s="224"/>
      <c r="AW76" s="229"/>
      <c r="AX76" s="12"/>
      <c r="AY76" s="12"/>
      <c r="AZ76" s="158" t="e">
        <f>INDEX('WEG Motor'!$B$3:$AZ$55,
       MATCH(AX76,'WEG Motor'!$A$3:$A$55,0),
       MATCH(AY76,'WEG Motor'!$B$2:$AZ$2,0))%</f>
        <v>#N/A</v>
      </c>
      <c r="BA76" s="158">
        <v>0.92</v>
      </c>
      <c r="BB76" s="158"/>
      <c r="BC76" s="159"/>
      <c r="BD76" s="160" t="e">
        <f>ROUND(((($BT$6*$BW$5*(C73*0.001)*D76)/1000)/BB76), 2)</f>
        <v>#DIV/0!</v>
      </c>
      <c r="BE76" s="12" t="e">
        <f t="shared" si="108"/>
        <v>#DIV/0!</v>
      </c>
      <c r="BF76" s="241" t="e">
        <f t="shared" si="109"/>
        <v>#DIV/0!</v>
      </c>
      <c r="BG76" s="230"/>
      <c r="BH76" s="234"/>
      <c r="BI76" s="22"/>
      <c r="BJ76" s="22"/>
      <c r="BK76" s="161" t="e">
        <f>INDEX('WEG Motor'!$B$3:$AZ$55,
       MATCH(BI76,'WEG Motor'!$A$3:$A$55,0),
       MATCH(BJ76,'WEG Motor'!$B$2:$AZ$2,0))%</f>
        <v>#N/A</v>
      </c>
      <c r="BL76" s="161">
        <v>0.92</v>
      </c>
      <c r="BM76" s="161"/>
      <c r="BN76" s="162"/>
      <c r="BO76" s="163" t="e">
        <f>ROUND(((($BT$6*$BW$5*(C73*0.001)*D76)/1000)/BM76), 2)</f>
        <v>#DIV/0!</v>
      </c>
      <c r="BP76" s="22" t="e">
        <f t="shared" si="110"/>
        <v>#DIV/0!</v>
      </c>
      <c r="BQ76" s="242" t="e">
        <f t="shared" si="111"/>
        <v>#DIV/0!</v>
      </c>
      <c r="BR76" s="193"/>
    </row>
    <row r="77" spans="1:70" x14ac:dyDescent="0.3">
      <c r="A77" s="309"/>
      <c r="B77" s="309"/>
      <c r="C77" s="312"/>
      <c r="D77" s="164">
        <v>35</v>
      </c>
      <c r="E77" s="166"/>
      <c r="F77" s="146"/>
      <c r="G77" s="146"/>
      <c r="H77" s="147" t="e">
        <f>INDEX('WEG Motor'!$B$3:$AZ$55,
       MATCH(F77,'WEG Motor'!$A$3:$A$55,0),
       MATCH(G77,'WEG Motor'!$B$2:$AZ$2,0))%</f>
        <v>#N/A</v>
      </c>
      <c r="I77" s="147">
        <v>0.92</v>
      </c>
      <c r="J77" s="283"/>
      <c r="K77" s="148"/>
      <c r="L77" s="286" t="e">
        <f t="shared" ref="L77" si="112">ROUND(((($BT$6*$BW$5*(C77*0.001)*D77)/1000)/J77), 2)</f>
        <v>#DIV/0!</v>
      </c>
      <c r="M77" s="146" t="e">
        <f t="shared" si="100"/>
        <v>#DIV/0!</v>
      </c>
      <c r="N77" s="237" t="e">
        <f t="shared" si="101"/>
        <v>#DIV/0!</v>
      </c>
      <c r="O77" s="167"/>
      <c r="P77" s="211" t="s">
        <v>143</v>
      </c>
      <c r="Q77" s="23">
        <v>45</v>
      </c>
      <c r="R77" s="23" t="s">
        <v>35</v>
      </c>
      <c r="S77" s="149">
        <f>INDEX('WEG Motor'!$B$3:$AZ$55,
       MATCH(Q77,'WEG Motor'!$A$3:$A$55,0),
       MATCH(R77,'WEG Motor'!$B$2:$AZ$2,0))%</f>
        <v>0.94200000000000006</v>
      </c>
      <c r="T77" s="149">
        <v>0.92</v>
      </c>
      <c r="U77" s="149">
        <v>0.85509999999999997</v>
      </c>
      <c r="V77" s="150">
        <v>3.5529999999999999</v>
      </c>
      <c r="W77" s="151">
        <f>ROUND(((($BT$6*$BW$5*(C73*0.001)*D77)/1000)/U77), 2)</f>
        <v>36.130000000000003</v>
      </c>
      <c r="X77" s="23">
        <f t="shared" si="102"/>
        <v>38.35</v>
      </c>
      <c r="Y77" s="238">
        <f t="shared" si="103"/>
        <v>41.68</v>
      </c>
      <c r="Z77" s="212"/>
      <c r="AA77" s="217"/>
      <c r="AB77" s="24"/>
      <c r="AC77" s="24"/>
      <c r="AD77" s="152" t="e">
        <f>INDEX('WEG Motor'!$B$3:$AZ$55,
       MATCH(AB77,'WEG Motor'!$A$3:$A$55,0),
       MATCH(AC77,'WEG Motor'!$B$2:$AZ$2,0))%</f>
        <v>#N/A</v>
      </c>
      <c r="AE77" s="152">
        <v>0.92</v>
      </c>
      <c r="AF77" s="152"/>
      <c r="AG77" s="153"/>
      <c r="AH77" s="154" t="e">
        <f>ROUND(((($BT$6*$BW$5*(C73*0.001)*D77)/1000)/AF77), 2)</f>
        <v>#DIV/0!</v>
      </c>
      <c r="AI77" s="24" t="e">
        <f t="shared" si="104"/>
        <v>#DIV/0!</v>
      </c>
      <c r="AJ77" s="239" t="e">
        <f t="shared" si="105"/>
        <v>#DIV/0!</v>
      </c>
      <c r="AK77" s="218"/>
      <c r="AL77" s="223"/>
      <c r="AM77" s="25"/>
      <c r="AN77" s="25"/>
      <c r="AO77" s="155" t="e">
        <f>INDEX('WEG Motor'!$B$3:$AZ$55,
       MATCH(AM77,'WEG Motor'!$A$3:$A$55,0),
       MATCH(AN77,'WEG Motor'!$B$2:$AZ$2,0))%</f>
        <v>#N/A</v>
      </c>
      <c r="AP77" s="155">
        <v>0.92</v>
      </c>
      <c r="AQ77" s="155"/>
      <c r="AR77" s="156"/>
      <c r="AS77" s="157" t="e">
        <f>ROUND(((($BT$6*$BW$5*(C73*0.001)*D77)/1000)/AQ77), 2)</f>
        <v>#DIV/0!</v>
      </c>
      <c r="AT77" s="25" t="e">
        <f t="shared" si="106"/>
        <v>#DIV/0!</v>
      </c>
      <c r="AU77" s="240" t="e">
        <f t="shared" si="107"/>
        <v>#DIV/0!</v>
      </c>
      <c r="AV77" s="224"/>
      <c r="AW77" s="229"/>
      <c r="AX77" s="12"/>
      <c r="AY77" s="12"/>
      <c r="AZ77" s="158" t="e">
        <f>INDEX('WEG Motor'!$B$3:$AZ$55,
       MATCH(AX77,'WEG Motor'!$A$3:$A$55,0),
       MATCH(AY77,'WEG Motor'!$B$2:$AZ$2,0))%</f>
        <v>#N/A</v>
      </c>
      <c r="BA77" s="158">
        <v>0.92</v>
      </c>
      <c r="BB77" s="158"/>
      <c r="BC77" s="159"/>
      <c r="BD77" s="160" t="e">
        <f>ROUND(((($BT$6*$BW$5*(C73*0.001)*D77)/1000)/BB77), 2)</f>
        <v>#DIV/0!</v>
      </c>
      <c r="BE77" s="12" t="e">
        <f t="shared" si="108"/>
        <v>#DIV/0!</v>
      </c>
      <c r="BF77" s="241" t="e">
        <f t="shared" si="109"/>
        <v>#DIV/0!</v>
      </c>
      <c r="BG77" s="230"/>
      <c r="BH77" s="234"/>
      <c r="BI77" s="22"/>
      <c r="BJ77" s="22"/>
      <c r="BK77" s="161" t="e">
        <f>INDEX('WEG Motor'!$B$3:$AZ$55,
       MATCH(BI77,'WEG Motor'!$A$3:$A$55,0),
       MATCH(BJ77,'WEG Motor'!$B$2:$AZ$2,0))%</f>
        <v>#N/A</v>
      </c>
      <c r="BL77" s="161">
        <v>0.92</v>
      </c>
      <c r="BM77" s="161"/>
      <c r="BN77" s="162"/>
      <c r="BO77" s="163" t="e">
        <f>ROUND(((($BT$6*$BW$5*(C73*0.001)*D77)/1000)/BM77), 2)</f>
        <v>#DIV/0!</v>
      </c>
      <c r="BP77" s="22" t="e">
        <f t="shared" si="110"/>
        <v>#DIV/0!</v>
      </c>
      <c r="BQ77" s="242" t="e">
        <f t="shared" si="111"/>
        <v>#DIV/0!</v>
      </c>
      <c r="BR77" s="193"/>
    </row>
    <row r="78" spans="1:70" x14ac:dyDescent="0.3">
      <c r="A78" s="309"/>
      <c r="B78" s="309"/>
      <c r="C78" s="312"/>
      <c r="D78" s="164">
        <v>40</v>
      </c>
      <c r="E78" s="166"/>
      <c r="F78" s="146"/>
      <c r="G78" s="146"/>
      <c r="H78" s="147" t="e">
        <f>INDEX('WEG Motor'!$B$3:$AZ$55,
       MATCH(F78,'WEG Motor'!$A$3:$A$55,0),
       MATCH(G78,'WEG Motor'!$B$2:$AZ$2,0))%</f>
        <v>#N/A</v>
      </c>
      <c r="I78" s="147">
        <v>0.92</v>
      </c>
      <c r="J78" s="283"/>
      <c r="K78" s="148"/>
      <c r="L78" s="286" t="e">
        <f>ROUND(((($BT$6*$BW$5*(C73*0.001)*D78)/1000)/J78), 2)</f>
        <v>#DIV/0!</v>
      </c>
      <c r="M78" s="146" t="e">
        <f t="shared" si="100"/>
        <v>#DIV/0!</v>
      </c>
      <c r="N78" s="237" t="e">
        <f t="shared" si="101"/>
        <v>#DIV/0!</v>
      </c>
      <c r="O78" s="167"/>
      <c r="P78" s="211" t="s">
        <v>144</v>
      </c>
      <c r="Q78" s="23">
        <v>55</v>
      </c>
      <c r="R78" s="23" t="s">
        <v>35</v>
      </c>
      <c r="S78" s="149">
        <f>INDEX('WEG Motor'!$B$3:$AZ$55,
       MATCH(Q78,'WEG Motor'!$A$3:$A$55,0),
       MATCH(R78,'WEG Motor'!$B$2:$AZ$2,0))%</f>
        <v>0.94599999999999995</v>
      </c>
      <c r="T78" s="149">
        <v>0.92</v>
      </c>
      <c r="U78" s="149">
        <v>0.81620000000000004</v>
      </c>
      <c r="V78" s="150">
        <v>2.9769999999999999</v>
      </c>
      <c r="W78" s="151">
        <f>ROUND(((($BT$6*$BW$5*(C73*0.001)*D78)/1000)/U78), 2)</f>
        <v>43.26</v>
      </c>
      <c r="X78" s="23">
        <f t="shared" si="102"/>
        <v>45.73</v>
      </c>
      <c r="Y78" s="238">
        <f t="shared" si="103"/>
        <v>49.71</v>
      </c>
      <c r="Z78" s="212"/>
      <c r="AA78" s="217"/>
      <c r="AB78" s="24"/>
      <c r="AC78" s="24"/>
      <c r="AD78" s="152" t="e">
        <f>INDEX('WEG Motor'!$B$3:$AZ$55,
       MATCH(AB78,'WEG Motor'!$A$3:$A$55,0),
       MATCH(AC78,'WEG Motor'!$B$2:$AZ$2,0))%</f>
        <v>#N/A</v>
      </c>
      <c r="AE78" s="152">
        <v>0.92</v>
      </c>
      <c r="AF78" s="152"/>
      <c r="AG78" s="153"/>
      <c r="AH78" s="154" t="e">
        <f>ROUND(((($BT$6*$BW$5*(C73*0.001)*D78)/1000)/AF78), 2)</f>
        <v>#DIV/0!</v>
      </c>
      <c r="AI78" s="24" t="e">
        <f t="shared" si="104"/>
        <v>#DIV/0!</v>
      </c>
      <c r="AJ78" s="239" t="e">
        <f t="shared" si="105"/>
        <v>#DIV/0!</v>
      </c>
      <c r="AK78" s="218"/>
      <c r="AL78" s="223"/>
      <c r="AM78" s="25"/>
      <c r="AN78" s="25"/>
      <c r="AO78" s="155" t="e">
        <f>INDEX('WEG Motor'!$B$3:$AZ$55,
       MATCH(AM78,'WEG Motor'!$A$3:$A$55,0),
       MATCH(AN78,'WEG Motor'!$B$2:$AZ$2,0))%</f>
        <v>#N/A</v>
      </c>
      <c r="AP78" s="155">
        <v>0.92</v>
      </c>
      <c r="AQ78" s="155"/>
      <c r="AR78" s="156"/>
      <c r="AS78" s="157" t="e">
        <f>ROUND(((($BT$6*$BW$5*(C73*0.001)*D78)/1000)/AQ78), 2)</f>
        <v>#DIV/0!</v>
      </c>
      <c r="AT78" s="25" t="e">
        <f t="shared" si="106"/>
        <v>#DIV/0!</v>
      </c>
      <c r="AU78" s="240" t="e">
        <f t="shared" si="107"/>
        <v>#DIV/0!</v>
      </c>
      <c r="AV78" s="224"/>
      <c r="AW78" s="229"/>
      <c r="AX78" s="12"/>
      <c r="AY78" s="12"/>
      <c r="AZ78" s="158" t="e">
        <f>INDEX('WEG Motor'!$B$3:$AZ$55,
       MATCH(AX78,'WEG Motor'!$A$3:$A$55,0),
       MATCH(AY78,'WEG Motor'!$B$2:$AZ$2,0))%</f>
        <v>#N/A</v>
      </c>
      <c r="BA78" s="158">
        <v>0.92</v>
      </c>
      <c r="BB78" s="158"/>
      <c r="BC78" s="159"/>
      <c r="BD78" s="160" t="e">
        <f>ROUND(((($BT$6*$BW$5*(C73*0.001)*D78)/1000)/BB78), 2)</f>
        <v>#DIV/0!</v>
      </c>
      <c r="BE78" s="12" t="e">
        <f t="shared" si="108"/>
        <v>#DIV/0!</v>
      </c>
      <c r="BF78" s="241" t="e">
        <f t="shared" si="109"/>
        <v>#DIV/0!</v>
      </c>
      <c r="BG78" s="230"/>
      <c r="BH78" s="234"/>
      <c r="BI78" s="22"/>
      <c r="BJ78" s="22"/>
      <c r="BK78" s="161" t="e">
        <f>INDEX('WEG Motor'!$B$3:$AZ$55,
       MATCH(BI78,'WEG Motor'!$A$3:$A$55,0),
       MATCH(BJ78,'WEG Motor'!$B$2:$AZ$2,0))%</f>
        <v>#N/A</v>
      </c>
      <c r="BL78" s="161">
        <v>0.92</v>
      </c>
      <c r="BM78" s="161"/>
      <c r="BN78" s="162"/>
      <c r="BO78" s="163" t="e">
        <f>ROUND(((($BT$6*$BW$5*(C73*0.001)*D78)/1000)/BM78), 2)</f>
        <v>#DIV/0!</v>
      </c>
      <c r="BP78" s="22" t="e">
        <f t="shared" si="110"/>
        <v>#DIV/0!</v>
      </c>
      <c r="BQ78" s="242" t="e">
        <f t="shared" si="111"/>
        <v>#DIV/0!</v>
      </c>
      <c r="BR78" s="193"/>
    </row>
    <row r="79" spans="1:70" ht="15" thickBot="1" x14ac:dyDescent="0.35">
      <c r="A79" s="310"/>
      <c r="B79" s="310"/>
      <c r="C79" s="313"/>
      <c r="D79" s="165">
        <v>45</v>
      </c>
      <c r="E79" s="168"/>
      <c r="F79" s="169"/>
      <c r="G79" s="169"/>
      <c r="H79" s="170" t="e">
        <f>INDEX('WEG Motor'!$B$3:$AZ$55,
       MATCH(F79,'WEG Motor'!$A$3:$A$55,0),
       MATCH(G79,'WEG Motor'!$B$2:$AZ$2,0))%</f>
        <v>#N/A</v>
      </c>
      <c r="I79" s="170">
        <v>0.92</v>
      </c>
      <c r="J79" s="284"/>
      <c r="K79" s="171"/>
      <c r="L79" s="287" t="e">
        <f>ROUND(((($BT$6*$BW$5*(C73*0.001)*D79)/1000)/J79), 2)</f>
        <v>#DIV/0!</v>
      </c>
      <c r="M79" s="169" t="e">
        <f t="shared" si="100"/>
        <v>#DIV/0!</v>
      </c>
      <c r="N79" s="247" t="e">
        <f t="shared" si="101"/>
        <v>#DIV/0!</v>
      </c>
      <c r="O79" s="172"/>
      <c r="P79" s="213" t="s">
        <v>144</v>
      </c>
      <c r="Q79" s="194">
        <v>55</v>
      </c>
      <c r="R79" s="194" t="s">
        <v>35</v>
      </c>
      <c r="S79" s="195">
        <f>INDEX('WEG Motor'!$B$3:$AZ$55,
       MATCH(Q79,'WEG Motor'!$A$3:$A$55,0),
       MATCH(R79,'WEG Motor'!$B$2:$AZ$2,0))%</f>
        <v>0.94599999999999995</v>
      </c>
      <c r="T79" s="195">
        <v>0.92</v>
      </c>
      <c r="U79" s="195">
        <v>0.8296</v>
      </c>
      <c r="V79" s="196">
        <v>2.9769999999999999</v>
      </c>
      <c r="W79" s="140">
        <f>ROUND(((($BT$6*$BW$5*(C73*0.001)*D79)/1000)/U79), 2)</f>
        <v>47.88</v>
      </c>
      <c r="X79" s="194">
        <f t="shared" si="102"/>
        <v>50.61</v>
      </c>
      <c r="Y79" s="246">
        <f t="shared" si="103"/>
        <v>55.01</v>
      </c>
      <c r="Z79" s="214"/>
      <c r="AA79" s="219"/>
      <c r="AB79" s="197"/>
      <c r="AC79" s="197"/>
      <c r="AD79" s="198" t="e">
        <f>INDEX('WEG Motor'!$B$3:$AZ$55,
       MATCH(AB79,'WEG Motor'!$A$3:$A$55,0),
       MATCH(AC79,'WEG Motor'!$B$2:$AZ$2,0))%</f>
        <v>#N/A</v>
      </c>
      <c r="AE79" s="198">
        <v>0.92</v>
      </c>
      <c r="AF79" s="198"/>
      <c r="AG79" s="199"/>
      <c r="AH79" s="141" t="e">
        <f>ROUND(((($BT$6*$BW$5*(C73*0.001)*D79)/1000)/AF79), 2)</f>
        <v>#DIV/0!</v>
      </c>
      <c r="AI79" s="197" t="e">
        <f t="shared" si="104"/>
        <v>#DIV/0!</v>
      </c>
      <c r="AJ79" s="245" t="e">
        <f t="shared" si="105"/>
        <v>#DIV/0!</v>
      </c>
      <c r="AK79" s="220"/>
      <c r="AL79" s="225"/>
      <c r="AM79" s="200"/>
      <c r="AN79" s="200"/>
      <c r="AO79" s="201" t="e">
        <f>INDEX('WEG Motor'!$B$3:$AZ$55,
       MATCH(AM79,'WEG Motor'!$A$3:$A$55,0),
       MATCH(AN79,'WEG Motor'!$B$2:$AZ$2,0))%</f>
        <v>#N/A</v>
      </c>
      <c r="AP79" s="201">
        <v>0.92</v>
      </c>
      <c r="AQ79" s="201"/>
      <c r="AR79" s="202"/>
      <c r="AS79" s="142" t="e">
        <f>ROUND(((($BT$6*$BW$5*(C73*0.001)*D79)/1000)/AQ79), 2)</f>
        <v>#DIV/0!</v>
      </c>
      <c r="AT79" s="200" t="e">
        <f t="shared" si="106"/>
        <v>#DIV/0!</v>
      </c>
      <c r="AU79" s="244" t="e">
        <f t="shared" si="107"/>
        <v>#DIV/0!</v>
      </c>
      <c r="AV79" s="226"/>
      <c r="AW79" s="231"/>
      <c r="AX79" s="203"/>
      <c r="AY79" s="203"/>
      <c r="AZ79" s="204" t="e">
        <f>INDEX('WEG Motor'!$B$3:$AZ$55,
       MATCH(AX79,'WEG Motor'!$A$3:$A$55,0),
       MATCH(AY79,'WEG Motor'!$B$2:$AZ$2,0))%</f>
        <v>#N/A</v>
      </c>
      <c r="BA79" s="204">
        <v>0.92</v>
      </c>
      <c r="BB79" s="204"/>
      <c r="BC79" s="205"/>
      <c r="BD79" s="143" t="e">
        <f>ROUND(((($BT$6*$BW$5*(C73*0.001)*D79)/1000)/BB79), 2)</f>
        <v>#DIV/0!</v>
      </c>
      <c r="BE79" s="203" t="e">
        <f t="shared" si="108"/>
        <v>#DIV/0!</v>
      </c>
      <c r="BF79" s="243" t="e">
        <f t="shared" si="109"/>
        <v>#DIV/0!</v>
      </c>
      <c r="BG79" s="232"/>
      <c r="BH79" s="235"/>
      <c r="BI79" s="66"/>
      <c r="BJ79" s="66"/>
      <c r="BK79" s="206" t="e">
        <f>INDEX('WEG Motor'!$B$3:$AZ$55,
       MATCH(BI79,'WEG Motor'!$A$3:$A$55,0),
       MATCH(BJ79,'WEG Motor'!$B$2:$AZ$2,0))%</f>
        <v>#N/A</v>
      </c>
      <c r="BL79" s="206">
        <v>0.92</v>
      </c>
      <c r="BM79" s="206"/>
      <c r="BN79" s="207"/>
      <c r="BO79" s="144" t="e">
        <f>ROUND(((($BT$6*$BW$5*(C73*0.001)*D79)/1000)/BM79), 2)</f>
        <v>#DIV/0!</v>
      </c>
      <c r="BP79" s="292" t="e">
        <f t="shared" si="110"/>
        <v>#DIV/0!</v>
      </c>
      <c r="BQ79" s="293" t="e">
        <f t="shared" si="111"/>
        <v>#DIV/0!</v>
      </c>
      <c r="BR79" s="208"/>
    </row>
    <row r="80" spans="1:70" x14ac:dyDescent="0.3">
      <c r="A80" s="308">
        <v>11</v>
      </c>
      <c r="B80" s="308">
        <v>800</v>
      </c>
      <c r="C80" s="311">
        <f>ROUND((B80 * $BW$7 * 1000) / ($BT$6 * $BW$3 * $BW$4), 0)</f>
        <v>96</v>
      </c>
      <c r="D80" s="145">
        <v>15</v>
      </c>
      <c r="E80" s="173"/>
      <c r="F80" s="53"/>
      <c r="G80" s="53"/>
      <c r="H80" s="174" t="e">
        <f>INDEX('WEG Motor'!$B$3:$AZ$55,
       MATCH(F80,'WEG Motor'!$A$3:$A$55,0),
       MATCH(G80,'WEG Motor'!$B$2:$AZ$2,0))%</f>
        <v>#N/A</v>
      </c>
      <c r="I80" s="174">
        <v>0.92</v>
      </c>
      <c r="J80" s="282"/>
      <c r="K80" s="175"/>
      <c r="L80" s="285" t="e">
        <f t="shared" ref="L80" si="113">ROUND(((($BT$6*$BW$5*(C80*0.001)*D80)/1000)/J80), 2)</f>
        <v>#DIV/0!</v>
      </c>
      <c r="M80" s="53" t="e">
        <f>ROUND((L80/H80),2)</f>
        <v>#DIV/0!</v>
      </c>
      <c r="N80" s="236" t="e">
        <f t="shared" si="101"/>
        <v>#DIV/0!</v>
      </c>
      <c r="O80" s="176"/>
      <c r="P80" s="209" t="s">
        <v>145</v>
      </c>
      <c r="Q80" s="177">
        <v>18.5</v>
      </c>
      <c r="R80" s="177" t="s">
        <v>35</v>
      </c>
      <c r="S80" s="178">
        <f>INDEX('WEG Motor'!$B$3:$AZ$55,
       MATCH(Q80,'WEG Motor'!$A$3:$A$55,0),
       MATCH(R80,'WEG Motor'!$B$2:$AZ$2,0))%</f>
        <v>0.92599999999999993</v>
      </c>
      <c r="T80" s="178">
        <v>0.92</v>
      </c>
      <c r="U80" s="178">
        <v>0.85289999999999999</v>
      </c>
      <c r="V80" s="179">
        <v>3.6970000000000001</v>
      </c>
      <c r="W80" s="297">
        <f>ROUND(((($BT$6*$BW$5*(C80*0.001)*D80)/1000)/U80), 2)</f>
        <v>16.559999999999999</v>
      </c>
      <c r="X80" s="177">
        <f>ROUND((W80/S80),2)</f>
        <v>17.88</v>
      </c>
      <c r="Y80" s="276">
        <f t="shared" si="103"/>
        <v>19.43</v>
      </c>
      <c r="Z80" s="210"/>
      <c r="AA80" s="215"/>
      <c r="AB80" s="180"/>
      <c r="AC80" s="180"/>
      <c r="AD80" s="181" t="e">
        <f>INDEX('WEG Motor'!$B$3:$AZ$55,
       MATCH(AB80,'WEG Motor'!$A$3:$A$55,0),
       MATCH(AC80,'WEG Motor'!$B$2:$AZ$2,0))%</f>
        <v>#N/A</v>
      </c>
      <c r="AE80" s="181">
        <v>0.92</v>
      </c>
      <c r="AF80" s="181"/>
      <c r="AG80" s="182"/>
      <c r="AH80" s="296" t="e">
        <f>ROUND(((($BT$6*$BW$5*(C80*0.001)*D80)/1000)/AF80), 2)</f>
        <v>#DIV/0!</v>
      </c>
      <c r="AI80" s="180" t="e">
        <f>ROUND((AH80/AD80),2)</f>
        <v>#DIV/0!</v>
      </c>
      <c r="AJ80" s="277" t="e">
        <f t="shared" si="105"/>
        <v>#DIV/0!</v>
      </c>
      <c r="AK80" s="216"/>
      <c r="AL80" s="221"/>
      <c r="AM80" s="183"/>
      <c r="AN80" s="183"/>
      <c r="AO80" s="184" t="e">
        <f>INDEX('WEG Motor'!$B$3:$AZ$55,
       MATCH(AM80,'WEG Motor'!$A$3:$A$55,0),
       MATCH(AN80,'WEG Motor'!$B$2:$AZ$2,0))%</f>
        <v>#N/A</v>
      </c>
      <c r="AP80" s="184">
        <v>0.92</v>
      </c>
      <c r="AQ80" s="184"/>
      <c r="AR80" s="185"/>
      <c r="AS80" s="295" t="e">
        <f>ROUND(((($BT$6*$BW$5*(C80*0.001)*D80)/1000)/AQ80), 2)</f>
        <v>#DIV/0!</v>
      </c>
      <c r="AT80" s="183" t="e">
        <f>ROUND((AS80/AO80),2)</f>
        <v>#DIV/0!</v>
      </c>
      <c r="AU80" s="278" t="e">
        <f t="shared" si="107"/>
        <v>#DIV/0!</v>
      </c>
      <c r="AV80" s="222"/>
      <c r="AW80" s="227"/>
      <c r="AX80" s="186"/>
      <c r="AY80" s="186"/>
      <c r="AZ80" s="187" t="e">
        <f>INDEX('WEG Motor'!$B$3:$AZ$55,
       MATCH(AX80,'WEG Motor'!$A$3:$A$55,0),
       MATCH(AY80,'WEG Motor'!$B$2:$AZ$2,0))%</f>
        <v>#N/A</v>
      </c>
      <c r="BA80" s="187">
        <v>0.92</v>
      </c>
      <c r="BB80" s="187"/>
      <c r="BC80" s="188"/>
      <c r="BD80" s="294" t="e">
        <f>ROUND(((($BT$6*$BW$5*(C80*0.001)*D80)/1000)/BB80), 2)</f>
        <v>#DIV/0!</v>
      </c>
      <c r="BE80" s="186" t="e">
        <f>ROUND((BD80/AZ80),2)</f>
        <v>#DIV/0!</v>
      </c>
      <c r="BF80" s="279" t="e">
        <f t="shared" si="109"/>
        <v>#DIV/0!</v>
      </c>
      <c r="BG80" s="228"/>
      <c r="BH80" s="233"/>
      <c r="BI80" s="189"/>
      <c r="BJ80" s="189"/>
      <c r="BK80" s="190" t="e">
        <f>INDEX('WEG Motor'!$B$3:$AZ$55,
       MATCH(BI80,'WEG Motor'!$A$3:$A$55,0),
       MATCH(BJ80,'WEG Motor'!$B$2:$AZ$2,0))%</f>
        <v>#N/A</v>
      </c>
      <c r="BL80" s="190">
        <v>0.92</v>
      </c>
      <c r="BM80" s="190"/>
      <c r="BN80" s="191"/>
      <c r="BO80" s="289" t="e">
        <f>ROUND(((($BT$6*$BW$5*(C80*0.001)*D80)/1000)/BM80), 2)</f>
        <v>#DIV/0!</v>
      </c>
      <c r="BP80" s="290" t="e">
        <f>ROUND((BO80/BK80),2)</f>
        <v>#DIV/0!</v>
      </c>
      <c r="BQ80" s="291" t="e">
        <f>ROUND((BP80/BL80), 2)</f>
        <v>#DIV/0!</v>
      </c>
      <c r="BR80" s="192"/>
    </row>
    <row r="81" spans="1:70" x14ac:dyDescent="0.3">
      <c r="A81" s="309"/>
      <c r="B81" s="309"/>
      <c r="C81" s="312"/>
      <c r="D81" s="164">
        <v>20</v>
      </c>
      <c r="E81" s="166"/>
      <c r="F81" s="146"/>
      <c r="G81" s="146"/>
      <c r="H81" s="147" t="e">
        <f>INDEX('WEG Motor'!$B$3:$AZ$55,
       MATCH(F81,'WEG Motor'!$A$3:$A$55,0),
       MATCH(G81,'WEG Motor'!$B$2:$AZ$2,0))%</f>
        <v>#N/A</v>
      </c>
      <c r="I81" s="147">
        <v>0.92</v>
      </c>
      <c r="J81" s="283"/>
      <c r="K81" s="148"/>
      <c r="L81" s="286" t="e">
        <f>ROUND(((($BT$6*$BW$5*(C80*0.001)*D81)/1000)/J81), 2)</f>
        <v>#DIV/0!</v>
      </c>
      <c r="M81" s="146" t="e">
        <f t="shared" ref="M81:M86" si="114">ROUND((L81/H81),2)</f>
        <v>#DIV/0!</v>
      </c>
      <c r="N81" s="237" t="e">
        <f t="shared" si="101"/>
        <v>#DIV/0!</v>
      </c>
      <c r="O81" s="167"/>
      <c r="P81" s="211" t="s">
        <v>56</v>
      </c>
      <c r="Q81" s="23">
        <v>30</v>
      </c>
      <c r="R81" s="23" t="s">
        <v>35</v>
      </c>
      <c r="S81" s="149">
        <f>INDEX('WEG Motor'!$B$3:$AZ$55,
       MATCH(Q81,'WEG Motor'!$A$3:$A$55,0),
       MATCH(R81,'WEG Motor'!$B$2:$AZ$2,0))%</f>
        <v>0.93599999999999994</v>
      </c>
      <c r="T81" s="149">
        <v>0.92</v>
      </c>
      <c r="U81" s="149">
        <v>0.85809999999999997</v>
      </c>
      <c r="V81" s="150">
        <v>3.2429999999999999</v>
      </c>
      <c r="W81" s="151">
        <f>ROUND(((($BT$6*$BW$5*(C80*0.001)*D81)/1000)/U81), 2)</f>
        <v>21.95</v>
      </c>
      <c r="X81" s="23">
        <f t="shared" ref="X81:X86" si="115">ROUND((W81/S81),2)</f>
        <v>23.45</v>
      </c>
      <c r="Y81" s="238">
        <f t="shared" si="103"/>
        <v>25.49</v>
      </c>
      <c r="Z81" s="212"/>
      <c r="AA81" s="217"/>
      <c r="AB81" s="24"/>
      <c r="AC81" s="24"/>
      <c r="AD81" s="152" t="e">
        <f>INDEX('WEG Motor'!$B$3:$AZ$55,
       MATCH(AB81,'WEG Motor'!$A$3:$A$55,0),
       MATCH(AC81,'WEG Motor'!$B$2:$AZ$2,0))%</f>
        <v>#N/A</v>
      </c>
      <c r="AE81" s="152">
        <v>0.92</v>
      </c>
      <c r="AF81" s="152"/>
      <c r="AG81" s="153"/>
      <c r="AH81" s="154" t="e">
        <f>ROUND(((($BT$6*$BW$5*(C80*0.001)*D81)/1000)/AF81), 2)</f>
        <v>#DIV/0!</v>
      </c>
      <c r="AI81" s="24" t="e">
        <f t="shared" ref="AI81:AI86" si="116">ROUND((AH81/AD81),2)</f>
        <v>#DIV/0!</v>
      </c>
      <c r="AJ81" s="239" t="e">
        <f t="shared" si="105"/>
        <v>#DIV/0!</v>
      </c>
      <c r="AK81" s="218"/>
      <c r="AL81" s="223"/>
      <c r="AM81" s="25"/>
      <c r="AN81" s="25"/>
      <c r="AO81" s="155" t="e">
        <f>INDEX('WEG Motor'!$B$3:$AZ$55,
       MATCH(AM81,'WEG Motor'!$A$3:$A$55,0),
       MATCH(AN81,'WEG Motor'!$B$2:$AZ$2,0))%</f>
        <v>#N/A</v>
      </c>
      <c r="AP81" s="155">
        <v>0.92</v>
      </c>
      <c r="AQ81" s="155"/>
      <c r="AR81" s="156"/>
      <c r="AS81" s="157" t="e">
        <f>ROUND(((($BT$6*$BW$5*(C80*0.001)*D81)/1000)/AQ81), 2)</f>
        <v>#DIV/0!</v>
      </c>
      <c r="AT81" s="25" t="e">
        <f t="shared" ref="AT81:AT86" si="117">ROUND((AS81/AO81),2)</f>
        <v>#DIV/0!</v>
      </c>
      <c r="AU81" s="240" t="e">
        <f t="shared" si="107"/>
        <v>#DIV/0!</v>
      </c>
      <c r="AV81" s="224"/>
      <c r="AW81" s="229"/>
      <c r="AX81" s="12"/>
      <c r="AY81" s="12"/>
      <c r="AZ81" s="158" t="e">
        <f>INDEX('WEG Motor'!$B$3:$AZ$55,
       MATCH(AX81,'WEG Motor'!$A$3:$A$55,0),
       MATCH(AY81,'WEG Motor'!$B$2:$AZ$2,0))%</f>
        <v>#N/A</v>
      </c>
      <c r="BA81" s="158">
        <v>0.92</v>
      </c>
      <c r="BB81" s="158"/>
      <c r="BC81" s="159"/>
      <c r="BD81" s="160" t="e">
        <f>ROUND(((($BT$6*$BW$5*(C80*0.001)*D81)/1000)/BB81), 2)</f>
        <v>#DIV/0!</v>
      </c>
      <c r="BE81" s="12" t="e">
        <f t="shared" ref="BE81:BE86" si="118">ROUND((BD81/AZ81),2)</f>
        <v>#DIV/0!</v>
      </c>
      <c r="BF81" s="241" t="e">
        <f t="shared" si="109"/>
        <v>#DIV/0!</v>
      </c>
      <c r="BG81" s="230"/>
      <c r="BH81" s="234"/>
      <c r="BI81" s="22"/>
      <c r="BJ81" s="22"/>
      <c r="BK81" s="161" t="e">
        <f>INDEX('WEG Motor'!$B$3:$AZ$55,
       MATCH(BI81,'WEG Motor'!$A$3:$A$55,0),
       MATCH(BJ81,'WEG Motor'!$B$2:$AZ$2,0))%</f>
        <v>#N/A</v>
      </c>
      <c r="BL81" s="161">
        <v>0.92</v>
      </c>
      <c r="BM81" s="161"/>
      <c r="BN81" s="162"/>
      <c r="BO81" s="163" t="e">
        <f>ROUND(((($BT$6*$BW$5*(C80*0.001)*D81)/1000)/BM81), 2)</f>
        <v>#DIV/0!</v>
      </c>
      <c r="BP81" s="22" t="e">
        <f t="shared" ref="BP81:BP86" si="119">ROUND((BO81/BK81),2)</f>
        <v>#DIV/0!</v>
      </c>
      <c r="BQ81" s="242" t="e">
        <f t="shared" ref="BQ81:BQ86" si="120">ROUND((BP81/BL81), 2)</f>
        <v>#DIV/0!</v>
      </c>
      <c r="BR81" s="193"/>
    </row>
    <row r="82" spans="1:70" x14ac:dyDescent="0.3">
      <c r="A82" s="309"/>
      <c r="B82" s="309"/>
      <c r="C82" s="312"/>
      <c r="D82" s="164">
        <v>25</v>
      </c>
      <c r="E82" s="166"/>
      <c r="F82" s="146"/>
      <c r="G82" s="146"/>
      <c r="H82" s="147" t="e">
        <f>INDEX('WEG Motor'!$B$3:$AZ$55,
       MATCH(F82,'WEG Motor'!$A$3:$A$55,0),
       MATCH(G82,'WEG Motor'!$B$2:$AZ$2,0))%</f>
        <v>#N/A</v>
      </c>
      <c r="I82" s="147">
        <v>0.92</v>
      </c>
      <c r="J82" s="283"/>
      <c r="K82" s="148"/>
      <c r="L82" s="286" t="e">
        <f>ROUND(((($BT$6*$BW$5*(C80*0.001)*D82)/1000)/J82), 2)</f>
        <v>#DIV/0!</v>
      </c>
      <c r="M82" s="146" t="e">
        <f t="shared" si="114"/>
        <v>#DIV/0!</v>
      </c>
      <c r="N82" s="237" t="e">
        <f t="shared" si="101"/>
        <v>#DIV/0!</v>
      </c>
      <c r="O82" s="167"/>
      <c r="P82" s="211" t="s">
        <v>56</v>
      </c>
      <c r="Q82" s="23">
        <v>30</v>
      </c>
      <c r="R82" s="23" t="s">
        <v>35</v>
      </c>
      <c r="S82" s="149">
        <f>INDEX('WEG Motor'!$B$3:$AZ$55,
       MATCH(Q82,'WEG Motor'!$A$3:$A$55,0),
       MATCH(R82,'WEG Motor'!$B$2:$AZ$2,0))%</f>
        <v>0.93599999999999994</v>
      </c>
      <c r="T82" s="149">
        <v>0.92</v>
      </c>
      <c r="U82" s="149">
        <v>0.86539999999999995</v>
      </c>
      <c r="V82" s="150">
        <v>3.2429999999999999</v>
      </c>
      <c r="W82" s="151">
        <f>ROUND(((($BT$6*$BW$5*(C80*0.001)*D82)/1000)/U82), 2)</f>
        <v>27.2</v>
      </c>
      <c r="X82" s="23">
        <f t="shared" si="115"/>
        <v>29.06</v>
      </c>
      <c r="Y82" s="238">
        <f t="shared" si="103"/>
        <v>31.59</v>
      </c>
      <c r="Z82" s="212"/>
      <c r="AA82" s="217"/>
      <c r="AB82" s="24"/>
      <c r="AC82" s="24"/>
      <c r="AD82" s="152" t="e">
        <f>INDEX('WEG Motor'!$B$3:$AZ$55,
       MATCH(AB82,'WEG Motor'!$A$3:$A$55,0),
       MATCH(AC82,'WEG Motor'!$B$2:$AZ$2,0))%</f>
        <v>#N/A</v>
      </c>
      <c r="AE82" s="152">
        <v>0.92</v>
      </c>
      <c r="AF82" s="152"/>
      <c r="AG82" s="153"/>
      <c r="AH82" s="154" t="e">
        <f>ROUND(((($BT$6*$BW$5*(C80*0.001)*D82)/1000)/AF82), 2)</f>
        <v>#DIV/0!</v>
      </c>
      <c r="AI82" s="24" t="e">
        <f t="shared" si="116"/>
        <v>#DIV/0!</v>
      </c>
      <c r="AJ82" s="239" t="e">
        <f t="shared" si="105"/>
        <v>#DIV/0!</v>
      </c>
      <c r="AK82" s="218"/>
      <c r="AL82" s="223"/>
      <c r="AM82" s="25"/>
      <c r="AN82" s="25"/>
      <c r="AO82" s="155" t="e">
        <f>INDEX('WEG Motor'!$B$3:$AZ$55,
       MATCH(AM82,'WEG Motor'!$A$3:$A$55,0),
       MATCH(AN82,'WEG Motor'!$B$2:$AZ$2,0))%</f>
        <v>#N/A</v>
      </c>
      <c r="AP82" s="155">
        <v>0.92</v>
      </c>
      <c r="AQ82" s="155"/>
      <c r="AR82" s="156"/>
      <c r="AS82" s="157" t="e">
        <f>ROUND(((($BT$6*$BW$5*(C80*0.001)*D82)/1000)/AQ82), 2)</f>
        <v>#DIV/0!</v>
      </c>
      <c r="AT82" s="25" t="e">
        <f t="shared" si="117"/>
        <v>#DIV/0!</v>
      </c>
      <c r="AU82" s="240" t="e">
        <f t="shared" si="107"/>
        <v>#DIV/0!</v>
      </c>
      <c r="AV82" s="224"/>
      <c r="AW82" s="229"/>
      <c r="AX82" s="12"/>
      <c r="AY82" s="12"/>
      <c r="AZ82" s="158" t="e">
        <f>INDEX('WEG Motor'!$B$3:$AZ$55,
       MATCH(AX82,'WEG Motor'!$A$3:$A$55,0),
       MATCH(AY82,'WEG Motor'!$B$2:$AZ$2,0))%</f>
        <v>#N/A</v>
      </c>
      <c r="BA82" s="158">
        <v>0.92</v>
      </c>
      <c r="BB82" s="158"/>
      <c r="BC82" s="159"/>
      <c r="BD82" s="160" t="e">
        <f>ROUND(((($BT$6*$BW$5*(C80*0.001)*D82)/1000)/BB82), 2)</f>
        <v>#DIV/0!</v>
      </c>
      <c r="BE82" s="12" t="e">
        <f t="shared" si="118"/>
        <v>#DIV/0!</v>
      </c>
      <c r="BF82" s="241" t="e">
        <f t="shared" si="109"/>
        <v>#DIV/0!</v>
      </c>
      <c r="BG82" s="230"/>
      <c r="BH82" s="234"/>
      <c r="BI82" s="22"/>
      <c r="BJ82" s="22"/>
      <c r="BK82" s="161" t="e">
        <f>INDEX('WEG Motor'!$B$3:$AZ$55,
       MATCH(BI82,'WEG Motor'!$A$3:$A$55,0),
       MATCH(BJ82,'WEG Motor'!$B$2:$AZ$2,0))%</f>
        <v>#N/A</v>
      </c>
      <c r="BL82" s="161">
        <v>0.92</v>
      </c>
      <c r="BM82" s="161"/>
      <c r="BN82" s="162"/>
      <c r="BO82" s="163" t="e">
        <f>ROUND(((($BT$6*$BW$5*(C80*0.001)*D82)/1000)/BM82), 2)</f>
        <v>#DIV/0!</v>
      </c>
      <c r="BP82" s="22" t="e">
        <f t="shared" si="119"/>
        <v>#DIV/0!</v>
      </c>
      <c r="BQ82" s="242" t="e">
        <f t="shared" si="120"/>
        <v>#DIV/0!</v>
      </c>
      <c r="BR82" s="193"/>
    </row>
    <row r="83" spans="1:70" x14ac:dyDescent="0.3">
      <c r="A83" s="309"/>
      <c r="B83" s="309"/>
      <c r="C83" s="312"/>
      <c r="D83" s="164">
        <v>30</v>
      </c>
      <c r="E83" s="166"/>
      <c r="F83" s="146"/>
      <c r="G83" s="146"/>
      <c r="H83" s="147" t="e">
        <f>INDEX('WEG Motor'!$B$3:$AZ$55,
       MATCH(F83,'WEG Motor'!$A$3:$A$55,0),
       MATCH(G83,'WEG Motor'!$B$2:$AZ$2,0))%</f>
        <v>#N/A</v>
      </c>
      <c r="I83" s="147">
        <v>0.92</v>
      </c>
      <c r="J83" s="283"/>
      <c r="K83" s="148"/>
      <c r="L83" s="286" t="e">
        <f>ROUND(((($BT$6*$BW$5*(C80*0.001)*D83)/1000)/J83), 2)</f>
        <v>#DIV/0!</v>
      </c>
      <c r="M83" s="146" t="e">
        <f t="shared" si="114"/>
        <v>#DIV/0!</v>
      </c>
      <c r="N83" s="237" t="e">
        <f t="shared" si="101"/>
        <v>#DIV/0!</v>
      </c>
      <c r="O83" s="167"/>
      <c r="P83" s="211" t="s">
        <v>63</v>
      </c>
      <c r="Q83" s="23">
        <v>37</v>
      </c>
      <c r="R83" s="23" t="s">
        <v>35</v>
      </c>
      <c r="S83" s="149">
        <f>INDEX('WEG Motor'!$B$3:$AZ$55,
       MATCH(Q83,'WEG Motor'!$A$3:$A$55,0),
       MATCH(R83,'WEG Motor'!$B$2:$AZ$2,0))%</f>
        <v>0.93900000000000006</v>
      </c>
      <c r="T83" s="149">
        <v>0.92</v>
      </c>
      <c r="U83" s="149">
        <v>0.86280000000000001</v>
      </c>
      <c r="V83" s="150">
        <v>3.2429999999999999</v>
      </c>
      <c r="W83" s="151">
        <f>ROUND(((($BT$6*$BW$5*(C80*0.001)*D83)/1000)/U83), 2)</f>
        <v>32.74</v>
      </c>
      <c r="X83" s="23">
        <f t="shared" si="115"/>
        <v>34.869999999999997</v>
      </c>
      <c r="Y83" s="238">
        <f t="shared" si="103"/>
        <v>37.9</v>
      </c>
      <c r="Z83" s="212"/>
      <c r="AA83" s="217"/>
      <c r="AB83" s="24"/>
      <c r="AC83" s="24"/>
      <c r="AD83" s="152" t="e">
        <f>INDEX('WEG Motor'!$B$3:$AZ$55,
       MATCH(AB83,'WEG Motor'!$A$3:$A$55,0),
       MATCH(AC83,'WEG Motor'!$B$2:$AZ$2,0))%</f>
        <v>#N/A</v>
      </c>
      <c r="AE83" s="152">
        <v>0.92</v>
      </c>
      <c r="AF83" s="152"/>
      <c r="AG83" s="153"/>
      <c r="AH83" s="154" t="e">
        <f>ROUND(((($BT$6*$BW$5*(C80*0.001)*D83)/1000)/AF83), 2)</f>
        <v>#DIV/0!</v>
      </c>
      <c r="AI83" s="24" t="e">
        <f t="shared" si="116"/>
        <v>#DIV/0!</v>
      </c>
      <c r="AJ83" s="239" t="e">
        <f t="shared" si="105"/>
        <v>#DIV/0!</v>
      </c>
      <c r="AK83" s="218"/>
      <c r="AL83" s="223"/>
      <c r="AM83" s="25"/>
      <c r="AN83" s="25"/>
      <c r="AO83" s="155" t="e">
        <f>INDEX('WEG Motor'!$B$3:$AZ$55,
       MATCH(AM83,'WEG Motor'!$A$3:$A$55,0),
       MATCH(AN83,'WEG Motor'!$B$2:$AZ$2,0))%</f>
        <v>#N/A</v>
      </c>
      <c r="AP83" s="155">
        <v>0.92</v>
      </c>
      <c r="AQ83" s="155"/>
      <c r="AR83" s="156"/>
      <c r="AS83" s="157" t="e">
        <f>ROUND(((($BT$6*$BW$5*(C80*0.001)*D83)/1000)/AQ83), 2)</f>
        <v>#DIV/0!</v>
      </c>
      <c r="AT83" s="25" t="e">
        <f t="shared" si="117"/>
        <v>#DIV/0!</v>
      </c>
      <c r="AU83" s="240" t="e">
        <f t="shared" si="107"/>
        <v>#DIV/0!</v>
      </c>
      <c r="AV83" s="224"/>
      <c r="AW83" s="229"/>
      <c r="AX83" s="12"/>
      <c r="AY83" s="12"/>
      <c r="AZ83" s="158" t="e">
        <f>INDEX('WEG Motor'!$B$3:$AZ$55,
       MATCH(AX83,'WEG Motor'!$A$3:$A$55,0),
       MATCH(AY83,'WEG Motor'!$B$2:$AZ$2,0))%</f>
        <v>#N/A</v>
      </c>
      <c r="BA83" s="158">
        <v>0.92</v>
      </c>
      <c r="BB83" s="158"/>
      <c r="BC83" s="159"/>
      <c r="BD83" s="160" t="e">
        <f>ROUND(((($BT$6*$BW$5*(C80*0.001)*D83)/1000)/BB83), 2)</f>
        <v>#DIV/0!</v>
      </c>
      <c r="BE83" s="12" t="e">
        <f t="shared" si="118"/>
        <v>#DIV/0!</v>
      </c>
      <c r="BF83" s="241" t="e">
        <f t="shared" si="109"/>
        <v>#DIV/0!</v>
      </c>
      <c r="BG83" s="230"/>
      <c r="BH83" s="234"/>
      <c r="BI83" s="22"/>
      <c r="BJ83" s="22"/>
      <c r="BK83" s="161" t="e">
        <f>INDEX('WEG Motor'!$B$3:$AZ$55,
       MATCH(BI83,'WEG Motor'!$A$3:$A$55,0),
       MATCH(BJ83,'WEG Motor'!$B$2:$AZ$2,0))%</f>
        <v>#N/A</v>
      </c>
      <c r="BL83" s="161">
        <v>0.92</v>
      </c>
      <c r="BM83" s="161"/>
      <c r="BN83" s="162"/>
      <c r="BO83" s="163" t="e">
        <f>ROUND(((($BT$6*$BW$5*(C80*0.001)*D83)/1000)/BM83), 2)</f>
        <v>#DIV/0!</v>
      </c>
      <c r="BP83" s="22" t="e">
        <f t="shared" si="119"/>
        <v>#DIV/0!</v>
      </c>
      <c r="BQ83" s="242" t="e">
        <f t="shared" si="120"/>
        <v>#DIV/0!</v>
      </c>
      <c r="BR83" s="193"/>
    </row>
    <row r="84" spans="1:70" x14ac:dyDescent="0.3">
      <c r="A84" s="309"/>
      <c r="B84" s="309"/>
      <c r="C84" s="312"/>
      <c r="D84" s="164">
        <v>35</v>
      </c>
      <c r="E84" s="166"/>
      <c r="F84" s="146"/>
      <c r="G84" s="146"/>
      <c r="H84" s="147" t="e">
        <f>INDEX('WEG Motor'!$B$3:$AZ$55,
       MATCH(F84,'WEG Motor'!$A$3:$A$55,0),
       MATCH(G84,'WEG Motor'!$B$2:$AZ$2,0))%</f>
        <v>#N/A</v>
      </c>
      <c r="I84" s="147">
        <v>0.92</v>
      </c>
      <c r="J84" s="283"/>
      <c r="K84" s="148"/>
      <c r="L84" s="286" t="e">
        <f t="shared" ref="L84" si="121">ROUND(((($BT$6*$BW$5*(C84*0.001)*D84)/1000)/J84), 2)</f>
        <v>#DIV/0!</v>
      </c>
      <c r="M84" s="146" t="e">
        <f t="shared" si="114"/>
        <v>#DIV/0!</v>
      </c>
      <c r="N84" s="237" t="e">
        <f t="shared" si="101"/>
        <v>#DIV/0!</v>
      </c>
      <c r="O84" s="167"/>
      <c r="P84" s="211" t="s">
        <v>64</v>
      </c>
      <c r="Q84" s="23">
        <v>45</v>
      </c>
      <c r="R84" s="23" t="s">
        <v>35</v>
      </c>
      <c r="S84" s="149">
        <f>INDEX('WEG Motor'!$B$3:$AZ$55,
       MATCH(Q84,'WEG Motor'!$A$3:$A$55,0),
       MATCH(R84,'WEG Motor'!$B$2:$AZ$2,0))%</f>
        <v>0.94200000000000006</v>
      </c>
      <c r="T84" s="149">
        <v>0.92</v>
      </c>
      <c r="U84" s="149">
        <v>0.85899999999999999</v>
      </c>
      <c r="V84" s="150">
        <v>3.2429999999999999</v>
      </c>
      <c r="W84" s="151">
        <f>ROUND(((($BT$6*$BW$5*(C80*0.001)*D84)/1000)/U84), 2)</f>
        <v>38.36</v>
      </c>
      <c r="X84" s="23">
        <f t="shared" si="115"/>
        <v>40.72</v>
      </c>
      <c r="Y84" s="238">
        <f t="shared" si="103"/>
        <v>44.26</v>
      </c>
      <c r="Z84" s="212"/>
      <c r="AA84" s="217"/>
      <c r="AB84" s="24"/>
      <c r="AC84" s="24"/>
      <c r="AD84" s="152" t="e">
        <f>INDEX('WEG Motor'!$B$3:$AZ$55,
       MATCH(AB84,'WEG Motor'!$A$3:$A$55,0),
       MATCH(AC84,'WEG Motor'!$B$2:$AZ$2,0))%</f>
        <v>#N/A</v>
      </c>
      <c r="AE84" s="152">
        <v>0.92</v>
      </c>
      <c r="AF84" s="152"/>
      <c r="AG84" s="153"/>
      <c r="AH84" s="154" t="e">
        <f>ROUND(((($BT$6*$BW$5*(C80*0.001)*D84)/1000)/AF84), 2)</f>
        <v>#DIV/0!</v>
      </c>
      <c r="AI84" s="24" t="e">
        <f t="shared" si="116"/>
        <v>#DIV/0!</v>
      </c>
      <c r="AJ84" s="239" t="e">
        <f t="shared" si="105"/>
        <v>#DIV/0!</v>
      </c>
      <c r="AK84" s="218"/>
      <c r="AL84" s="223"/>
      <c r="AM84" s="25"/>
      <c r="AN84" s="25"/>
      <c r="AO84" s="155" t="e">
        <f>INDEX('WEG Motor'!$B$3:$AZ$55,
       MATCH(AM84,'WEG Motor'!$A$3:$A$55,0),
       MATCH(AN84,'WEG Motor'!$B$2:$AZ$2,0))%</f>
        <v>#N/A</v>
      </c>
      <c r="AP84" s="155">
        <v>0.92</v>
      </c>
      <c r="AQ84" s="155"/>
      <c r="AR84" s="156"/>
      <c r="AS84" s="157" t="e">
        <f>ROUND(((($BT$6*$BW$5*(C80*0.001)*D84)/1000)/AQ84), 2)</f>
        <v>#DIV/0!</v>
      </c>
      <c r="AT84" s="25" t="e">
        <f t="shared" si="117"/>
        <v>#DIV/0!</v>
      </c>
      <c r="AU84" s="240" t="e">
        <f t="shared" si="107"/>
        <v>#DIV/0!</v>
      </c>
      <c r="AV84" s="224"/>
      <c r="AW84" s="229"/>
      <c r="AX84" s="12"/>
      <c r="AY84" s="12"/>
      <c r="AZ84" s="158" t="e">
        <f>INDEX('WEG Motor'!$B$3:$AZ$55,
       MATCH(AX84,'WEG Motor'!$A$3:$A$55,0),
       MATCH(AY84,'WEG Motor'!$B$2:$AZ$2,0))%</f>
        <v>#N/A</v>
      </c>
      <c r="BA84" s="158">
        <v>0.92</v>
      </c>
      <c r="BB84" s="158"/>
      <c r="BC84" s="159"/>
      <c r="BD84" s="160" t="e">
        <f>ROUND(((($BT$6*$BW$5*(C80*0.001)*D84)/1000)/BB84), 2)</f>
        <v>#DIV/0!</v>
      </c>
      <c r="BE84" s="12" t="e">
        <f t="shared" si="118"/>
        <v>#DIV/0!</v>
      </c>
      <c r="BF84" s="241" t="e">
        <f t="shared" si="109"/>
        <v>#DIV/0!</v>
      </c>
      <c r="BG84" s="230"/>
      <c r="BH84" s="234"/>
      <c r="BI84" s="22"/>
      <c r="BJ84" s="22"/>
      <c r="BK84" s="161" t="e">
        <f>INDEX('WEG Motor'!$B$3:$AZ$55,
       MATCH(BI84,'WEG Motor'!$A$3:$A$55,0),
       MATCH(BJ84,'WEG Motor'!$B$2:$AZ$2,0))%</f>
        <v>#N/A</v>
      </c>
      <c r="BL84" s="161">
        <v>0.92</v>
      </c>
      <c r="BM84" s="161"/>
      <c r="BN84" s="162"/>
      <c r="BO84" s="163" t="e">
        <f>ROUND(((($BT$6*$BW$5*(C80*0.001)*D84)/1000)/BM84), 2)</f>
        <v>#DIV/0!</v>
      </c>
      <c r="BP84" s="22" t="e">
        <f t="shared" si="119"/>
        <v>#DIV/0!</v>
      </c>
      <c r="BQ84" s="242" t="e">
        <f t="shared" si="120"/>
        <v>#DIV/0!</v>
      </c>
      <c r="BR84" s="193"/>
    </row>
    <row r="85" spans="1:70" x14ac:dyDescent="0.3">
      <c r="A85" s="309"/>
      <c r="B85" s="309"/>
      <c r="C85" s="312"/>
      <c r="D85" s="164">
        <v>40</v>
      </c>
      <c r="E85" s="166"/>
      <c r="F85" s="146"/>
      <c r="G85" s="146"/>
      <c r="H85" s="147" t="e">
        <f>INDEX('WEG Motor'!$B$3:$AZ$55,
       MATCH(F85,'WEG Motor'!$A$3:$A$55,0),
       MATCH(G85,'WEG Motor'!$B$2:$AZ$2,0))%</f>
        <v>#N/A</v>
      </c>
      <c r="I85" s="147">
        <v>0.92</v>
      </c>
      <c r="J85" s="283"/>
      <c r="K85" s="148"/>
      <c r="L85" s="286" t="e">
        <f>ROUND(((($BT$6*$BW$5*(C80*0.001)*D85)/1000)/J85), 2)</f>
        <v>#DIV/0!</v>
      </c>
      <c r="M85" s="146" t="e">
        <f t="shared" si="114"/>
        <v>#DIV/0!</v>
      </c>
      <c r="N85" s="237" t="e">
        <f t="shared" si="101"/>
        <v>#DIV/0!</v>
      </c>
      <c r="O85" s="167"/>
      <c r="P85" s="211" t="s">
        <v>146</v>
      </c>
      <c r="Q85" s="23">
        <v>55</v>
      </c>
      <c r="R85" s="23" t="s">
        <v>35</v>
      </c>
      <c r="S85" s="149">
        <f>INDEX('WEG Motor'!$B$3:$AZ$55,
       MATCH(Q85,'WEG Motor'!$A$3:$A$55,0),
       MATCH(R85,'WEG Motor'!$B$2:$AZ$2,0))%</f>
        <v>0.94599999999999995</v>
      </c>
      <c r="T85" s="149">
        <v>0.92</v>
      </c>
      <c r="U85" s="149">
        <v>0.82289999999999996</v>
      </c>
      <c r="V85" s="150">
        <v>2.2650000000000001</v>
      </c>
      <c r="W85" s="151">
        <f>ROUND(((($BT$6*$BW$5*(C80*0.001)*D85)/1000)/U85), 2)</f>
        <v>45.77</v>
      </c>
      <c r="X85" s="23">
        <f t="shared" si="115"/>
        <v>48.38</v>
      </c>
      <c r="Y85" s="238">
        <f t="shared" si="103"/>
        <v>52.59</v>
      </c>
      <c r="Z85" s="212"/>
      <c r="AA85" s="217"/>
      <c r="AB85" s="24"/>
      <c r="AC85" s="24"/>
      <c r="AD85" s="152" t="e">
        <f>INDEX('WEG Motor'!$B$3:$AZ$55,
       MATCH(AB85,'WEG Motor'!$A$3:$A$55,0),
       MATCH(AC85,'WEG Motor'!$B$2:$AZ$2,0))%</f>
        <v>#N/A</v>
      </c>
      <c r="AE85" s="152">
        <v>0.92</v>
      </c>
      <c r="AF85" s="152"/>
      <c r="AG85" s="153"/>
      <c r="AH85" s="154" t="e">
        <f>ROUND(((($BT$6*$BW$5*(C80*0.001)*D85)/1000)/AF85), 2)</f>
        <v>#DIV/0!</v>
      </c>
      <c r="AI85" s="24" t="e">
        <f t="shared" si="116"/>
        <v>#DIV/0!</v>
      </c>
      <c r="AJ85" s="239" t="e">
        <f t="shared" si="105"/>
        <v>#DIV/0!</v>
      </c>
      <c r="AK85" s="218"/>
      <c r="AL85" s="223"/>
      <c r="AM85" s="25"/>
      <c r="AN85" s="25"/>
      <c r="AO85" s="155" t="e">
        <f>INDEX('WEG Motor'!$B$3:$AZ$55,
       MATCH(AM85,'WEG Motor'!$A$3:$A$55,0),
       MATCH(AN85,'WEG Motor'!$B$2:$AZ$2,0))%</f>
        <v>#N/A</v>
      </c>
      <c r="AP85" s="155">
        <v>0.92</v>
      </c>
      <c r="AQ85" s="155"/>
      <c r="AR85" s="156"/>
      <c r="AS85" s="157" t="e">
        <f>ROUND(((($BT$6*$BW$5*(C80*0.001)*D85)/1000)/AQ85), 2)</f>
        <v>#DIV/0!</v>
      </c>
      <c r="AT85" s="25" t="e">
        <f t="shared" si="117"/>
        <v>#DIV/0!</v>
      </c>
      <c r="AU85" s="240" t="e">
        <f t="shared" si="107"/>
        <v>#DIV/0!</v>
      </c>
      <c r="AV85" s="224"/>
      <c r="AW85" s="229"/>
      <c r="AX85" s="12"/>
      <c r="AY85" s="12"/>
      <c r="AZ85" s="158" t="e">
        <f>INDEX('WEG Motor'!$B$3:$AZ$55,
       MATCH(AX85,'WEG Motor'!$A$3:$A$55,0),
       MATCH(AY85,'WEG Motor'!$B$2:$AZ$2,0))%</f>
        <v>#N/A</v>
      </c>
      <c r="BA85" s="158">
        <v>0.92</v>
      </c>
      <c r="BB85" s="158"/>
      <c r="BC85" s="159"/>
      <c r="BD85" s="160" t="e">
        <f>ROUND(((($BT$6*$BW$5*(C80*0.001)*D85)/1000)/BB85), 2)</f>
        <v>#DIV/0!</v>
      </c>
      <c r="BE85" s="12" t="e">
        <f t="shared" si="118"/>
        <v>#DIV/0!</v>
      </c>
      <c r="BF85" s="241" t="e">
        <f t="shared" si="109"/>
        <v>#DIV/0!</v>
      </c>
      <c r="BG85" s="230"/>
      <c r="BH85" s="234"/>
      <c r="BI85" s="22"/>
      <c r="BJ85" s="22"/>
      <c r="BK85" s="161" t="e">
        <f>INDEX('WEG Motor'!$B$3:$AZ$55,
       MATCH(BI85,'WEG Motor'!$A$3:$A$55,0),
       MATCH(BJ85,'WEG Motor'!$B$2:$AZ$2,0))%</f>
        <v>#N/A</v>
      </c>
      <c r="BL85" s="161">
        <v>0.92</v>
      </c>
      <c r="BM85" s="161"/>
      <c r="BN85" s="162"/>
      <c r="BO85" s="163" t="e">
        <f>ROUND(((($BT$6*$BW$5*(C80*0.001)*D85)/1000)/BM85), 2)</f>
        <v>#DIV/0!</v>
      </c>
      <c r="BP85" s="22" t="e">
        <f t="shared" si="119"/>
        <v>#DIV/0!</v>
      </c>
      <c r="BQ85" s="242" t="e">
        <f t="shared" si="120"/>
        <v>#DIV/0!</v>
      </c>
      <c r="BR85" s="193"/>
    </row>
    <row r="86" spans="1:70" ht="15" thickBot="1" x14ac:dyDescent="0.35">
      <c r="A86" s="310"/>
      <c r="B86" s="310"/>
      <c r="C86" s="313"/>
      <c r="D86" s="165">
        <v>45</v>
      </c>
      <c r="E86" s="168"/>
      <c r="F86" s="169"/>
      <c r="G86" s="169"/>
      <c r="H86" s="170" t="e">
        <f>INDEX('WEG Motor'!$B$3:$AZ$55,
       MATCH(F86,'WEG Motor'!$A$3:$A$55,0),
       MATCH(G86,'WEG Motor'!$B$2:$AZ$2,0))%</f>
        <v>#N/A</v>
      </c>
      <c r="I86" s="170">
        <v>0.92</v>
      </c>
      <c r="J86" s="284"/>
      <c r="K86" s="171"/>
      <c r="L86" s="287" t="e">
        <f>ROUND(((($BT$6*$BW$5*(C80*0.001)*D86)/1000)/J86), 2)</f>
        <v>#DIV/0!</v>
      </c>
      <c r="M86" s="169" t="e">
        <f t="shared" si="114"/>
        <v>#DIV/0!</v>
      </c>
      <c r="N86" s="247" t="e">
        <f t="shared" si="101"/>
        <v>#DIV/0!</v>
      </c>
      <c r="O86" s="172"/>
      <c r="P86" s="213" t="s">
        <v>147</v>
      </c>
      <c r="Q86" s="194">
        <v>75</v>
      </c>
      <c r="R86" s="194" t="s">
        <v>35</v>
      </c>
      <c r="S86" s="195">
        <f>INDEX('WEG Motor'!$B$3:$AZ$55,
       MATCH(Q86,'WEG Motor'!$A$3:$A$55,0),
       MATCH(R86,'WEG Motor'!$B$2:$AZ$2,0))%</f>
        <v>0.95</v>
      </c>
      <c r="T86" s="195">
        <v>0.92</v>
      </c>
      <c r="U86" s="195">
        <v>0.82569999999999999</v>
      </c>
      <c r="V86" s="196">
        <v>3.2850000000000001</v>
      </c>
      <c r="W86" s="140">
        <f>ROUND(((($BT$6*$BW$5*(C80*0.001)*D86)/1000)/U86), 2)</f>
        <v>51.31</v>
      </c>
      <c r="X86" s="194">
        <f t="shared" si="115"/>
        <v>54.01</v>
      </c>
      <c r="Y86" s="246">
        <f t="shared" si="103"/>
        <v>58.71</v>
      </c>
      <c r="Z86" s="214"/>
      <c r="AA86" s="219"/>
      <c r="AB86" s="197"/>
      <c r="AC86" s="197"/>
      <c r="AD86" s="198" t="e">
        <f>INDEX('WEG Motor'!$B$3:$AZ$55,
       MATCH(AB86,'WEG Motor'!$A$3:$A$55,0),
       MATCH(AC86,'WEG Motor'!$B$2:$AZ$2,0))%</f>
        <v>#N/A</v>
      </c>
      <c r="AE86" s="198">
        <v>0.92</v>
      </c>
      <c r="AF86" s="198"/>
      <c r="AG86" s="199"/>
      <c r="AH86" s="141" t="e">
        <f>ROUND(((($BT$6*$BW$5*(C80*0.001)*D86)/1000)/AF86), 2)</f>
        <v>#DIV/0!</v>
      </c>
      <c r="AI86" s="197" t="e">
        <f t="shared" si="116"/>
        <v>#DIV/0!</v>
      </c>
      <c r="AJ86" s="245" t="e">
        <f t="shared" si="105"/>
        <v>#DIV/0!</v>
      </c>
      <c r="AK86" s="220"/>
      <c r="AL86" s="225"/>
      <c r="AM86" s="200"/>
      <c r="AN86" s="200"/>
      <c r="AO86" s="201" t="e">
        <f>INDEX('WEG Motor'!$B$3:$AZ$55,
       MATCH(AM86,'WEG Motor'!$A$3:$A$55,0),
       MATCH(AN86,'WEG Motor'!$B$2:$AZ$2,0))%</f>
        <v>#N/A</v>
      </c>
      <c r="AP86" s="201">
        <v>0.92</v>
      </c>
      <c r="AQ86" s="201"/>
      <c r="AR86" s="202"/>
      <c r="AS86" s="142" t="e">
        <f>ROUND(((($BT$6*$BW$5*(C80*0.001)*D86)/1000)/AQ86), 2)</f>
        <v>#DIV/0!</v>
      </c>
      <c r="AT86" s="200" t="e">
        <f t="shared" si="117"/>
        <v>#DIV/0!</v>
      </c>
      <c r="AU86" s="244" t="e">
        <f t="shared" si="107"/>
        <v>#DIV/0!</v>
      </c>
      <c r="AV86" s="226"/>
      <c r="AW86" s="231"/>
      <c r="AX86" s="203"/>
      <c r="AY86" s="203"/>
      <c r="AZ86" s="204" t="e">
        <f>INDEX('WEG Motor'!$B$3:$AZ$55,
       MATCH(AX86,'WEG Motor'!$A$3:$A$55,0),
       MATCH(AY86,'WEG Motor'!$B$2:$AZ$2,0))%</f>
        <v>#N/A</v>
      </c>
      <c r="BA86" s="204">
        <v>0.92</v>
      </c>
      <c r="BB86" s="204"/>
      <c r="BC86" s="205"/>
      <c r="BD86" s="143" t="e">
        <f>ROUND(((($BT$6*$BW$5*(C80*0.001)*D86)/1000)/BB86), 2)</f>
        <v>#DIV/0!</v>
      </c>
      <c r="BE86" s="203" t="e">
        <f t="shared" si="118"/>
        <v>#DIV/0!</v>
      </c>
      <c r="BF86" s="243" t="e">
        <f t="shared" si="109"/>
        <v>#DIV/0!</v>
      </c>
      <c r="BG86" s="232"/>
      <c r="BH86" s="235"/>
      <c r="BI86" s="66"/>
      <c r="BJ86" s="66"/>
      <c r="BK86" s="206" t="e">
        <f>INDEX('WEG Motor'!$B$3:$AZ$55,
       MATCH(BI86,'WEG Motor'!$A$3:$A$55,0),
       MATCH(BJ86,'WEG Motor'!$B$2:$AZ$2,0))%</f>
        <v>#N/A</v>
      </c>
      <c r="BL86" s="206">
        <v>0.92</v>
      </c>
      <c r="BM86" s="206"/>
      <c r="BN86" s="207"/>
      <c r="BO86" s="144" t="e">
        <f>ROUND(((($BT$6*$BW$5*(C80*0.001)*D86)/1000)/BM86), 2)</f>
        <v>#DIV/0!</v>
      </c>
      <c r="BP86" s="292" t="e">
        <f t="shared" si="119"/>
        <v>#DIV/0!</v>
      </c>
      <c r="BQ86" s="293" t="e">
        <f t="shared" si="120"/>
        <v>#DIV/0!</v>
      </c>
      <c r="BR86" s="208"/>
    </row>
    <row r="87" spans="1:70" x14ac:dyDescent="0.3">
      <c r="A87" s="308">
        <v>12</v>
      </c>
      <c r="B87" s="308">
        <v>850</v>
      </c>
      <c r="C87" s="311">
        <f>ROUND((B87 * $BW$7 * 1000) / ($BT$6 * $BW$3 * $BW$4), 0)</f>
        <v>102</v>
      </c>
      <c r="D87" s="145">
        <v>15</v>
      </c>
      <c r="E87" s="173"/>
      <c r="F87" s="53"/>
      <c r="G87" s="53"/>
      <c r="H87" s="174" t="e">
        <f>INDEX('WEG Motor'!$B$3:$AZ$55,
       MATCH(F87,'WEG Motor'!$A$3:$A$55,0),
       MATCH(G87,'WEG Motor'!$B$2:$AZ$2,0))%</f>
        <v>#N/A</v>
      </c>
      <c r="I87" s="174">
        <v>0.92</v>
      </c>
      <c r="J87" s="282"/>
      <c r="K87" s="175"/>
      <c r="L87" s="285" t="e">
        <f t="shared" ref="L87" si="122">ROUND(((($BT$6*$BW$5*(C87*0.001)*D87)/1000)/J87), 2)</f>
        <v>#DIV/0!</v>
      </c>
      <c r="M87" s="53" t="e">
        <f>ROUND((L87/H87),2)</f>
        <v>#DIV/0!</v>
      </c>
      <c r="N87" s="236" t="e">
        <f t="shared" si="101"/>
        <v>#DIV/0!</v>
      </c>
      <c r="O87" s="176"/>
      <c r="P87" s="209" t="s">
        <v>145</v>
      </c>
      <c r="Q87" s="177">
        <v>18.5</v>
      </c>
      <c r="R87" s="177" t="s">
        <v>35</v>
      </c>
      <c r="S87" s="178">
        <f>INDEX('WEG Motor'!$B$3:$AZ$55,
       MATCH(Q87,'WEG Motor'!$A$3:$A$55,0),
       MATCH(R87,'WEG Motor'!$B$2:$AZ$2,0))%</f>
        <v>0.92599999999999993</v>
      </c>
      <c r="T87" s="178">
        <v>0.92</v>
      </c>
      <c r="U87" s="178">
        <v>0.85760000000000003</v>
      </c>
      <c r="V87" s="179">
        <v>3.6520000000000001</v>
      </c>
      <c r="W87" s="297">
        <f>ROUND(((($BT$6*$BW$5*(C87*0.001)*D87)/1000)/U87), 2)</f>
        <v>17.5</v>
      </c>
      <c r="X87" s="177">
        <f>ROUND((W87/S87),2)</f>
        <v>18.899999999999999</v>
      </c>
      <c r="Y87" s="276">
        <f t="shared" si="103"/>
        <v>20.54</v>
      </c>
      <c r="Z87" s="210"/>
      <c r="AA87" s="215"/>
      <c r="AB87" s="180"/>
      <c r="AC87" s="180"/>
      <c r="AD87" s="181" t="e">
        <f>INDEX('WEG Motor'!$B$3:$AZ$55,
       MATCH(AB87,'WEG Motor'!$A$3:$A$55,0),
       MATCH(AC87,'WEG Motor'!$B$2:$AZ$2,0))%</f>
        <v>#N/A</v>
      </c>
      <c r="AE87" s="181">
        <v>0.92</v>
      </c>
      <c r="AF87" s="181"/>
      <c r="AG87" s="182"/>
      <c r="AH87" s="296" t="e">
        <f>ROUND(((($BT$6*$BW$5*(C87*0.001)*D87)/1000)/AF87), 2)</f>
        <v>#DIV/0!</v>
      </c>
      <c r="AI87" s="180" t="e">
        <f>ROUND((AH87/AD87),2)</f>
        <v>#DIV/0!</v>
      </c>
      <c r="AJ87" s="277" t="e">
        <f t="shared" si="105"/>
        <v>#DIV/0!</v>
      </c>
      <c r="AK87" s="216"/>
      <c r="AL87" s="221"/>
      <c r="AM87" s="183"/>
      <c r="AN87" s="183"/>
      <c r="AO87" s="184" t="e">
        <f>INDEX('WEG Motor'!$B$3:$AZ$55,
       MATCH(AM87,'WEG Motor'!$A$3:$A$55,0),
       MATCH(AN87,'WEG Motor'!$B$2:$AZ$2,0))%</f>
        <v>#N/A</v>
      </c>
      <c r="AP87" s="184">
        <v>0.92</v>
      </c>
      <c r="AQ87" s="184"/>
      <c r="AR87" s="185"/>
      <c r="AS87" s="295" t="e">
        <f>ROUND(((($BT$6*$BW$5*(C87*0.001)*D87)/1000)/AQ87), 2)</f>
        <v>#DIV/0!</v>
      </c>
      <c r="AT87" s="183" t="e">
        <f>ROUND((AS87/AO87),2)</f>
        <v>#DIV/0!</v>
      </c>
      <c r="AU87" s="278" t="e">
        <f t="shared" si="107"/>
        <v>#DIV/0!</v>
      </c>
      <c r="AV87" s="222"/>
      <c r="AW87" s="227"/>
      <c r="AX87" s="186"/>
      <c r="AY87" s="186"/>
      <c r="AZ87" s="187" t="e">
        <f>INDEX('WEG Motor'!$B$3:$AZ$55,
       MATCH(AX87,'WEG Motor'!$A$3:$A$55,0),
       MATCH(AY87,'WEG Motor'!$B$2:$AZ$2,0))%</f>
        <v>#N/A</v>
      </c>
      <c r="BA87" s="187">
        <v>0.92</v>
      </c>
      <c r="BB87" s="187"/>
      <c r="BC87" s="188"/>
      <c r="BD87" s="294" t="e">
        <f>ROUND(((($BT$6*$BW$5*(C87*0.001)*D87)/1000)/BB87), 2)</f>
        <v>#DIV/0!</v>
      </c>
      <c r="BE87" s="186" t="e">
        <f>ROUND((BD87/AZ87),2)</f>
        <v>#DIV/0!</v>
      </c>
      <c r="BF87" s="279" t="e">
        <f t="shared" si="109"/>
        <v>#DIV/0!</v>
      </c>
      <c r="BG87" s="228"/>
      <c r="BH87" s="233"/>
      <c r="BI87" s="189"/>
      <c r="BJ87" s="189"/>
      <c r="BK87" s="190" t="e">
        <f>INDEX('WEG Motor'!$B$3:$AZ$55,
       MATCH(BI87,'WEG Motor'!$A$3:$A$55,0),
       MATCH(BJ87,'WEG Motor'!$B$2:$AZ$2,0))%</f>
        <v>#N/A</v>
      </c>
      <c r="BL87" s="190">
        <v>0.92</v>
      </c>
      <c r="BM87" s="190"/>
      <c r="BN87" s="191"/>
      <c r="BO87" s="289" t="e">
        <f>ROUND(((($BT$6*$BW$5*(C87*0.001)*D87)/1000)/BM87), 2)</f>
        <v>#DIV/0!</v>
      </c>
      <c r="BP87" s="290" t="e">
        <f>ROUND((BO87/BK87),2)</f>
        <v>#DIV/0!</v>
      </c>
      <c r="BQ87" s="291" t="e">
        <f>ROUND((BP87/BL87), 2)</f>
        <v>#DIV/0!</v>
      </c>
      <c r="BR87" s="192"/>
    </row>
    <row r="88" spans="1:70" x14ac:dyDescent="0.3">
      <c r="A88" s="309"/>
      <c r="B88" s="309"/>
      <c r="C88" s="312"/>
      <c r="D88" s="164">
        <v>20</v>
      </c>
      <c r="E88" s="166"/>
      <c r="F88" s="146"/>
      <c r="G88" s="146"/>
      <c r="H88" s="147" t="e">
        <f>INDEX('WEG Motor'!$B$3:$AZ$55,
       MATCH(F88,'WEG Motor'!$A$3:$A$55,0),
       MATCH(G88,'WEG Motor'!$B$2:$AZ$2,0))%</f>
        <v>#N/A</v>
      </c>
      <c r="I88" s="147">
        <v>0.92</v>
      </c>
      <c r="J88" s="283"/>
      <c r="K88" s="148"/>
      <c r="L88" s="286" t="e">
        <f>ROUND(((($BT$6*$BW$5*(C87*0.001)*D88)/1000)/J88), 2)</f>
        <v>#DIV/0!</v>
      </c>
      <c r="M88" s="146" t="e">
        <f t="shared" ref="M88:M93" si="123">ROUND((L88/H88),2)</f>
        <v>#DIV/0!</v>
      </c>
      <c r="N88" s="237" t="e">
        <f t="shared" si="101"/>
        <v>#DIV/0!</v>
      </c>
      <c r="O88" s="167"/>
      <c r="P88" s="211" t="s">
        <v>56</v>
      </c>
      <c r="Q88" s="23">
        <v>30</v>
      </c>
      <c r="R88" s="23" t="s">
        <v>35</v>
      </c>
      <c r="S88" s="149">
        <f>INDEX('WEG Motor'!$B$3:$AZ$55,
       MATCH(Q88,'WEG Motor'!$A$3:$A$55,0),
       MATCH(R88,'WEG Motor'!$B$2:$AZ$2,0))%</f>
        <v>0.93599999999999994</v>
      </c>
      <c r="T88" s="149">
        <v>0.92</v>
      </c>
      <c r="U88" s="149">
        <v>0.86019999999999996</v>
      </c>
      <c r="V88" s="150">
        <v>3.343</v>
      </c>
      <c r="W88" s="151">
        <f>ROUND(((($BT$6*$BW$5*(C87*0.001)*D88)/1000)/U88), 2)</f>
        <v>23.26</v>
      </c>
      <c r="X88" s="23">
        <f t="shared" ref="X88:X93" si="124">ROUND((W88/S88),2)</f>
        <v>24.85</v>
      </c>
      <c r="Y88" s="238">
        <f t="shared" si="103"/>
        <v>27.01</v>
      </c>
      <c r="Z88" s="212"/>
      <c r="AA88" s="217"/>
      <c r="AB88" s="24"/>
      <c r="AC88" s="24"/>
      <c r="AD88" s="152" t="e">
        <f>INDEX('WEG Motor'!$B$3:$AZ$55,
       MATCH(AB88,'WEG Motor'!$A$3:$A$55,0),
       MATCH(AC88,'WEG Motor'!$B$2:$AZ$2,0))%</f>
        <v>#N/A</v>
      </c>
      <c r="AE88" s="152">
        <v>0.92</v>
      </c>
      <c r="AF88" s="152"/>
      <c r="AG88" s="153"/>
      <c r="AH88" s="154" t="e">
        <f>ROUND(((($BT$6*$BW$5*(C87*0.001)*D88)/1000)/AF88), 2)</f>
        <v>#DIV/0!</v>
      </c>
      <c r="AI88" s="24" t="e">
        <f t="shared" ref="AI88:AI93" si="125">ROUND((AH88/AD88),2)</f>
        <v>#DIV/0!</v>
      </c>
      <c r="AJ88" s="239" t="e">
        <f t="shared" si="105"/>
        <v>#DIV/0!</v>
      </c>
      <c r="AK88" s="218"/>
      <c r="AL88" s="223"/>
      <c r="AM88" s="25"/>
      <c r="AN88" s="25"/>
      <c r="AO88" s="155" t="e">
        <f>INDEX('WEG Motor'!$B$3:$AZ$55,
       MATCH(AM88,'WEG Motor'!$A$3:$A$55,0),
       MATCH(AN88,'WEG Motor'!$B$2:$AZ$2,0))%</f>
        <v>#N/A</v>
      </c>
      <c r="AP88" s="155">
        <v>0.92</v>
      </c>
      <c r="AQ88" s="155"/>
      <c r="AR88" s="156"/>
      <c r="AS88" s="157" t="e">
        <f>ROUND(((($BT$6*$BW$5*(C87*0.001)*D88)/1000)/AQ88), 2)</f>
        <v>#DIV/0!</v>
      </c>
      <c r="AT88" s="25" t="e">
        <f t="shared" ref="AT88:AT93" si="126">ROUND((AS88/AO88),2)</f>
        <v>#DIV/0!</v>
      </c>
      <c r="AU88" s="240" t="e">
        <f t="shared" si="107"/>
        <v>#DIV/0!</v>
      </c>
      <c r="AV88" s="224"/>
      <c r="AW88" s="229"/>
      <c r="AX88" s="12"/>
      <c r="AY88" s="12"/>
      <c r="AZ88" s="158" t="e">
        <f>INDEX('WEG Motor'!$B$3:$AZ$55,
       MATCH(AX88,'WEG Motor'!$A$3:$A$55,0),
       MATCH(AY88,'WEG Motor'!$B$2:$AZ$2,0))%</f>
        <v>#N/A</v>
      </c>
      <c r="BA88" s="158">
        <v>0.92</v>
      </c>
      <c r="BB88" s="158"/>
      <c r="BC88" s="159"/>
      <c r="BD88" s="160" t="e">
        <f>ROUND(((($BT$6*$BW$5*(C87*0.001)*D88)/1000)/BB88), 2)</f>
        <v>#DIV/0!</v>
      </c>
      <c r="BE88" s="12" t="e">
        <f t="shared" ref="BE88:BE93" si="127">ROUND((BD88/AZ88),2)</f>
        <v>#DIV/0!</v>
      </c>
      <c r="BF88" s="241" t="e">
        <f t="shared" si="109"/>
        <v>#DIV/0!</v>
      </c>
      <c r="BG88" s="230"/>
      <c r="BH88" s="234"/>
      <c r="BI88" s="22"/>
      <c r="BJ88" s="22"/>
      <c r="BK88" s="161" t="e">
        <f>INDEX('WEG Motor'!$B$3:$AZ$55,
       MATCH(BI88,'WEG Motor'!$A$3:$A$55,0),
       MATCH(BJ88,'WEG Motor'!$B$2:$AZ$2,0))%</f>
        <v>#N/A</v>
      </c>
      <c r="BL88" s="161">
        <v>0.92</v>
      </c>
      <c r="BM88" s="161"/>
      <c r="BN88" s="162"/>
      <c r="BO88" s="163" t="e">
        <f>ROUND(((($BT$6*$BW$5*(C87*0.001)*D88)/1000)/BM88), 2)</f>
        <v>#DIV/0!</v>
      </c>
      <c r="BP88" s="22" t="e">
        <f t="shared" ref="BP88:BP93" si="128">ROUND((BO88/BK88),2)</f>
        <v>#DIV/0!</v>
      </c>
      <c r="BQ88" s="242" t="e">
        <f t="shared" ref="BQ88:BQ93" si="129">ROUND((BP88/BL88), 2)</f>
        <v>#DIV/0!</v>
      </c>
      <c r="BR88" s="193"/>
    </row>
    <row r="89" spans="1:70" x14ac:dyDescent="0.3">
      <c r="A89" s="309"/>
      <c r="B89" s="309"/>
      <c r="C89" s="312"/>
      <c r="D89" s="164">
        <v>25</v>
      </c>
      <c r="E89" s="166"/>
      <c r="F89" s="146"/>
      <c r="G89" s="146"/>
      <c r="H89" s="147" t="e">
        <f>INDEX('WEG Motor'!$B$3:$AZ$55,
       MATCH(F89,'WEG Motor'!$A$3:$A$55,0),
       MATCH(G89,'WEG Motor'!$B$2:$AZ$2,0))%</f>
        <v>#N/A</v>
      </c>
      <c r="I89" s="147">
        <v>0.92</v>
      </c>
      <c r="J89" s="283"/>
      <c r="K89" s="148"/>
      <c r="L89" s="286" t="e">
        <f>ROUND(((($BT$6*$BW$5*(C87*0.001)*D89)/1000)/J89), 2)</f>
        <v>#DIV/0!</v>
      </c>
      <c r="M89" s="146" t="e">
        <f t="shared" si="123"/>
        <v>#DIV/0!</v>
      </c>
      <c r="N89" s="237" t="e">
        <f t="shared" si="101"/>
        <v>#DIV/0!</v>
      </c>
      <c r="O89" s="167"/>
      <c r="P89" s="211" t="s">
        <v>63</v>
      </c>
      <c r="Q89" s="23">
        <v>37</v>
      </c>
      <c r="R89" s="23" t="s">
        <v>35</v>
      </c>
      <c r="S89" s="149">
        <f>INDEX('WEG Motor'!$B$3:$AZ$55,
       MATCH(Q89,'WEG Motor'!$A$3:$A$55,0),
       MATCH(R89,'WEG Motor'!$B$2:$AZ$2,0))%</f>
        <v>0.93900000000000006</v>
      </c>
      <c r="T89" s="149">
        <v>0.92</v>
      </c>
      <c r="U89" s="149">
        <v>0.87029999999999996</v>
      </c>
      <c r="V89" s="150">
        <v>3.343</v>
      </c>
      <c r="W89" s="151">
        <f>ROUND(((($BT$6*$BW$5*(C87*0.001)*D89)/1000)/U89), 2)</f>
        <v>28.74</v>
      </c>
      <c r="X89" s="23">
        <f t="shared" si="124"/>
        <v>30.61</v>
      </c>
      <c r="Y89" s="238">
        <f t="shared" si="103"/>
        <v>33.270000000000003</v>
      </c>
      <c r="Z89" s="212"/>
      <c r="AA89" s="217"/>
      <c r="AB89" s="24"/>
      <c r="AC89" s="24"/>
      <c r="AD89" s="152" t="e">
        <f>INDEX('WEG Motor'!$B$3:$AZ$55,
       MATCH(AB89,'WEG Motor'!$A$3:$A$55,0),
       MATCH(AC89,'WEG Motor'!$B$2:$AZ$2,0))%</f>
        <v>#N/A</v>
      </c>
      <c r="AE89" s="152">
        <v>0.92</v>
      </c>
      <c r="AF89" s="152"/>
      <c r="AG89" s="153"/>
      <c r="AH89" s="154" t="e">
        <f>ROUND(((($BT$6*$BW$5*(C87*0.001)*D89)/1000)/AF89), 2)</f>
        <v>#DIV/0!</v>
      </c>
      <c r="AI89" s="24" t="e">
        <f t="shared" si="125"/>
        <v>#DIV/0!</v>
      </c>
      <c r="AJ89" s="239" t="e">
        <f t="shared" si="105"/>
        <v>#DIV/0!</v>
      </c>
      <c r="AK89" s="218"/>
      <c r="AL89" s="223"/>
      <c r="AM89" s="25"/>
      <c r="AN89" s="25"/>
      <c r="AO89" s="155" t="e">
        <f>INDEX('WEG Motor'!$B$3:$AZ$55,
       MATCH(AM89,'WEG Motor'!$A$3:$A$55,0),
       MATCH(AN89,'WEG Motor'!$B$2:$AZ$2,0))%</f>
        <v>#N/A</v>
      </c>
      <c r="AP89" s="155">
        <v>0.92</v>
      </c>
      <c r="AQ89" s="155"/>
      <c r="AR89" s="156"/>
      <c r="AS89" s="157" t="e">
        <f>ROUND(((($BT$6*$BW$5*(C87*0.001)*D89)/1000)/AQ89), 2)</f>
        <v>#DIV/0!</v>
      </c>
      <c r="AT89" s="25" t="e">
        <f t="shared" si="126"/>
        <v>#DIV/0!</v>
      </c>
      <c r="AU89" s="240" t="e">
        <f t="shared" si="107"/>
        <v>#DIV/0!</v>
      </c>
      <c r="AV89" s="224"/>
      <c r="AW89" s="229"/>
      <c r="AX89" s="12"/>
      <c r="AY89" s="12"/>
      <c r="AZ89" s="158" t="e">
        <f>INDEX('WEG Motor'!$B$3:$AZ$55,
       MATCH(AX89,'WEG Motor'!$A$3:$A$55,0),
       MATCH(AY89,'WEG Motor'!$B$2:$AZ$2,0))%</f>
        <v>#N/A</v>
      </c>
      <c r="BA89" s="158">
        <v>0.92</v>
      </c>
      <c r="BB89" s="158"/>
      <c r="BC89" s="159"/>
      <c r="BD89" s="160" t="e">
        <f>ROUND(((($BT$6*$BW$5*(C87*0.001)*D89)/1000)/BB89), 2)</f>
        <v>#DIV/0!</v>
      </c>
      <c r="BE89" s="12" t="e">
        <f t="shared" si="127"/>
        <v>#DIV/0!</v>
      </c>
      <c r="BF89" s="241" t="e">
        <f t="shared" si="109"/>
        <v>#DIV/0!</v>
      </c>
      <c r="BG89" s="230"/>
      <c r="BH89" s="234"/>
      <c r="BI89" s="22"/>
      <c r="BJ89" s="22"/>
      <c r="BK89" s="161" t="e">
        <f>INDEX('WEG Motor'!$B$3:$AZ$55,
       MATCH(BI89,'WEG Motor'!$A$3:$A$55,0),
       MATCH(BJ89,'WEG Motor'!$B$2:$AZ$2,0))%</f>
        <v>#N/A</v>
      </c>
      <c r="BL89" s="161">
        <v>0.92</v>
      </c>
      <c r="BM89" s="161"/>
      <c r="BN89" s="162"/>
      <c r="BO89" s="163" t="e">
        <f>ROUND(((($BT$6*$BW$5*(C87*0.001)*D89)/1000)/BM89), 2)</f>
        <v>#DIV/0!</v>
      </c>
      <c r="BP89" s="22" t="e">
        <f t="shared" si="128"/>
        <v>#DIV/0!</v>
      </c>
      <c r="BQ89" s="242" t="e">
        <f t="shared" si="129"/>
        <v>#DIV/0!</v>
      </c>
      <c r="BR89" s="193"/>
    </row>
    <row r="90" spans="1:70" x14ac:dyDescent="0.3">
      <c r="A90" s="309"/>
      <c r="B90" s="309"/>
      <c r="C90" s="312"/>
      <c r="D90" s="164">
        <v>30</v>
      </c>
      <c r="E90" s="166"/>
      <c r="F90" s="146"/>
      <c r="G90" s="146"/>
      <c r="H90" s="147" t="e">
        <f>INDEX('WEG Motor'!$B$3:$AZ$55,
       MATCH(F90,'WEG Motor'!$A$3:$A$55,0),
       MATCH(G90,'WEG Motor'!$B$2:$AZ$2,0))%</f>
        <v>#N/A</v>
      </c>
      <c r="I90" s="147">
        <v>0.92</v>
      </c>
      <c r="J90" s="283"/>
      <c r="K90" s="148"/>
      <c r="L90" s="286" t="e">
        <f>ROUND(((($BT$6*$BW$5*(C87*0.001)*D90)/1000)/J90), 2)</f>
        <v>#DIV/0!</v>
      </c>
      <c r="M90" s="146" t="e">
        <f t="shared" si="123"/>
        <v>#DIV/0!</v>
      </c>
      <c r="N90" s="237" t="e">
        <f t="shared" si="101"/>
        <v>#DIV/0!</v>
      </c>
      <c r="O90" s="167"/>
      <c r="P90" s="211" t="s">
        <v>64</v>
      </c>
      <c r="Q90" s="23">
        <v>45</v>
      </c>
      <c r="R90" s="23" t="s">
        <v>35</v>
      </c>
      <c r="S90" s="149">
        <f>INDEX('WEG Motor'!$B$3:$AZ$55,
       MATCH(Q90,'WEG Motor'!$A$3:$A$55,0),
       MATCH(R90,'WEG Motor'!$B$2:$AZ$2,0))%</f>
        <v>0.94200000000000006</v>
      </c>
      <c r="T90" s="149">
        <v>0.92</v>
      </c>
      <c r="U90" s="149">
        <v>0.87050000000000005</v>
      </c>
      <c r="V90" s="150">
        <v>3.343</v>
      </c>
      <c r="W90" s="151">
        <f>ROUND(((($BT$6*$BW$5*(C87*0.001)*D90)/1000)/U90), 2)</f>
        <v>34.479999999999997</v>
      </c>
      <c r="X90" s="23">
        <f t="shared" si="124"/>
        <v>36.6</v>
      </c>
      <c r="Y90" s="238">
        <f t="shared" si="103"/>
        <v>39.78</v>
      </c>
      <c r="Z90" s="212"/>
      <c r="AA90" s="217"/>
      <c r="AB90" s="24"/>
      <c r="AC90" s="24"/>
      <c r="AD90" s="152" t="e">
        <f>INDEX('WEG Motor'!$B$3:$AZ$55,
       MATCH(AB90,'WEG Motor'!$A$3:$A$55,0),
       MATCH(AC90,'WEG Motor'!$B$2:$AZ$2,0))%</f>
        <v>#N/A</v>
      </c>
      <c r="AE90" s="152">
        <v>0.92</v>
      </c>
      <c r="AF90" s="152"/>
      <c r="AG90" s="153"/>
      <c r="AH90" s="154" t="e">
        <f>ROUND(((($BT$6*$BW$5*(C87*0.001)*D90)/1000)/AF90), 2)</f>
        <v>#DIV/0!</v>
      </c>
      <c r="AI90" s="24" t="e">
        <f t="shared" si="125"/>
        <v>#DIV/0!</v>
      </c>
      <c r="AJ90" s="239" t="e">
        <f t="shared" si="105"/>
        <v>#DIV/0!</v>
      </c>
      <c r="AK90" s="218"/>
      <c r="AL90" s="223"/>
      <c r="AM90" s="25"/>
      <c r="AN90" s="25"/>
      <c r="AO90" s="155" t="e">
        <f>INDEX('WEG Motor'!$B$3:$AZ$55,
       MATCH(AM90,'WEG Motor'!$A$3:$A$55,0),
       MATCH(AN90,'WEG Motor'!$B$2:$AZ$2,0))%</f>
        <v>#N/A</v>
      </c>
      <c r="AP90" s="155">
        <v>0.92</v>
      </c>
      <c r="AQ90" s="155"/>
      <c r="AR90" s="156"/>
      <c r="AS90" s="157" t="e">
        <f>ROUND(((($BT$6*$BW$5*(C87*0.001)*D90)/1000)/AQ90), 2)</f>
        <v>#DIV/0!</v>
      </c>
      <c r="AT90" s="25" t="e">
        <f t="shared" si="126"/>
        <v>#DIV/0!</v>
      </c>
      <c r="AU90" s="240" t="e">
        <f t="shared" si="107"/>
        <v>#DIV/0!</v>
      </c>
      <c r="AV90" s="224"/>
      <c r="AW90" s="229"/>
      <c r="AX90" s="12"/>
      <c r="AY90" s="12"/>
      <c r="AZ90" s="158" t="e">
        <f>INDEX('WEG Motor'!$B$3:$AZ$55,
       MATCH(AX90,'WEG Motor'!$A$3:$A$55,0),
       MATCH(AY90,'WEG Motor'!$B$2:$AZ$2,0))%</f>
        <v>#N/A</v>
      </c>
      <c r="BA90" s="158">
        <v>0.92</v>
      </c>
      <c r="BB90" s="158"/>
      <c r="BC90" s="159"/>
      <c r="BD90" s="160" t="e">
        <f>ROUND(((($BT$6*$BW$5*(C87*0.001)*D90)/1000)/BB90), 2)</f>
        <v>#DIV/0!</v>
      </c>
      <c r="BE90" s="12" t="e">
        <f t="shared" si="127"/>
        <v>#DIV/0!</v>
      </c>
      <c r="BF90" s="241" t="e">
        <f t="shared" si="109"/>
        <v>#DIV/0!</v>
      </c>
      <c r="BG90" s="230"/>
      <c r="BH90" s="234"/>
      <c r="BI90" s="22"/>
      <c r="BJ90" s="22"/>
      <c r="BK90" s="161" t="e">
        <f>INDEX('WEG Motor'!$B$3:$AZ$55,
       MATCH(BI90,'WEG Motor'!$A$3:$A$55,0),
       MATCH(BJ90,'WEG Motor'!$B$2:$AZ$2,0))%</f>
        <v>#N/A</v>
      </c>
      <c r="BL90" s="161">
        <v>0.92</v>
      </c>
      <c r="BM90" s="161"/>
      <c r="BN90" s="162"/>
      <c r="BO90" s="163" t="e">
        <f>ROUND(((($BT$6*$BW$5*(C87*0.001)*D90)/1000)/BM90), 2)</f>
        <v>#DIV/0!</v>
      </c>
      <c r="BP90" s="22" t="e">
        <f t="shared" si="128"/>
        <v>#DIV/0!</v>
      </c>
      <c r="BQ90" s="242" t="e">
        <f t="shared" si="129"/>
        <v>#DIV/0!</v>
      </c>
      <c r="BR90" s="193"/>
    </row>
    <row r="91" spans="1:70" x14ac:dyDescent="0.3">
      <c r="A91" s="309"/>
      <c r="B91" s="309"/>
      <c r="C91" s="312"/>
      <c r="D91" s="164">
        <v>35</v>
      </c>
      <c r="E91" s="166"/>
      <c r="F91" s="146"/>
      <c r="G91" s="146"/>
      <c r="H91" s="147" t="e">
        <f>INDEX('WEG Motor'!$B$3:$AZ$55,
       MATCH(F91,'WEG Motor'!$A$3:$A$55,0),
       MATCH(G91,'WEG Motor'!$B$2:$AZ$2,0))%</f>
        <v>#N/A</v>
      </c>
      <c r="I91" s="147">
        <v>0.92</v>
      </c>
      <c r="J91" s="283"/>
      <c r="K91" s="148"/>
      <c r="L91" s="286" t="e">
        <f t="shared" ref="L91" si="130">ROUND(((($BT$6*$BW$5*(C91*0.001)*D91)/1000)/J91), 2)</f>
        <v>#DIV/0!</v>
      </c>
      <c r="M91" s="146" t="e">
        <f t="shared" si="123"/>
        <v>#DIV/0!</v>
      </c>
      <c r="N91" s="237" t="e">
        <f t="shared" si="101"/>
        <v>#DIV/0!</v>
      </c>
      <c r="O91" s="167"/>
      <c r="P91" s="211" t="s">
        <v>64</v>
      </c>
      <c r="Q91" s="23">
        <v>45</v>
      </c>
      <c r="R91" s="23" t="s">
        <v>35</v>
      </c>
      <c r="S91" s="149">
        <f>INDEX('WEG Motor'!$B$3:$AZ$55,
       MATCH(Q91,'WEG Motor'!$A$3:$A$55,0),
       MATCH(R91,'WEG Motor'!$B$2:$AZ$2,0))%</f>
        <v>0.94200000000000006</v>
      </c>
      <c r="T91" s="149">
        <v>0.92</v>
      </c>
      <c r="U91" s="149">
        <v>0.86670000000000003</v>
      </c>
      <c r="V91" s="150">
        <v>3.343</v>
      </c>
      <c r="W91" s="151">
        <f>ROUND(((($BT$6*$BW$5*(C87*0.001)*D91)/1000)/U91), 2)</f>
        <v>40.4</v>
      </c>
      <c r="X91" s="23">
        <f t="shared" si="124"/>
        <v>42.89</v>
      </c>
      <c r="Y91" s="238">
        <f t="shared" si="103"/>
        <v>46.62</v>
      </c>
      <c r="Z91" s="212"/>
      <c r="AA91" s="217"/>
      <c r="AB91" s="24"/>
      <c r="AC91" s="24"/>
      <c r="AD91" s="152" t="e">
        <f>INDEX('WEG Motor'!$B$3:$AZ$55,
       MATCH(AB91,'WEG Motor'!$A$3:$A$55,0),
       MATCH(AC91,'WEG Motor'!$B$2:$AZ$2,0))%</f>
        <v>#N/A</v>
      </c>
      <c r="AE91" s="152">
        <v>0.92</v>
      </c>
      <c r="AF91" s="152"/>
      <c r="AG91" s="153"/>
      <c r="AH91" s="154" t="e">
        <f>ROUND(((($BT$6*$BW$5*(C87*0.001)*D91)/1000)/AF91), 2)</f>
        <v>#DIV/0!</v>
      </c>
      <c r="AI91" s="24" t="e">
        <f t="shared" si="125"/>
        <v>#DIV/0!</v>
      </c>
      <c r="AJ91" s="239" t="e">
        <f t="shared" si="105"/>
        <v>#DIV/0!</v>
      </c>
      <c r="AK91" s="218"/>
      <c r="AL91" s="223"/>
      <c r="AM91" s="25"/>
      <c r="AN91" s="25"/>
      <c r="AO91" s="155" t="e">
        <f>INDEX('WEG Motor'!$B$3:$AZ$55,
       MATCH(AM91,'WEG Motor'!$A$3:$A$55,0),
       MATCH(AN91,'WEG Motor'!$B$2:$AZ$2,0))%</f>
        <v>#N/A</v>
      </c>
      <c r="AP91" s="155">
        <v>0.92</v>
      </c>
      <c r="AQ91" s="155"/>
      <c r="AR91" s="156"/>
      <c r="AS91" s="157" t="e">
        <f>ROUND(((($BT$6*$BW$5*(C87*0.001)*D91)/1000)/AQ91), 2)</f>
        <v>#DIV/0!</v>
      </c>
      <c r="AT91" s="25" t="e">
        <f t="shared" si="126"/>
        <v>#DIV/0!</v>
      </c>
      <c r="AU91" s="240" t="e">
        <f t="shared" si="107"/>
        <v>#DIV/0!</v>
      </c>
      <c r="AV91" s="224"/>
      <c r="AW91" s="229"/>
      <c r="AX91" s="12"/>
      <c r="AY91" s="12"/>
      <c r="AZ91" s="158" t="e">
        <f>INDEX('WEG Motor'!$B$3:$AZ$55,
       MATCH(AX91,'WEG Motor'!$A$3:$A$55,0),
       MATCH(AY91,'WEG Motor'!$B$2:$AZ$2,0))%</f>
        <v>#N/A</v>
      </c>
      <c r="BA91" s="158">
        <v>0.92</v>
      </c>
      <c r="BB91" s="158"/>
      <c r="BC91" s="159"/>
      <c r="BD91" s="160" t="e">
        <f>ROUND(((($BT$6*$BW$5*(C87*0.001)*D91)/1000)/BB91), 2)</f>
        <v>#DIV/0!</v>
      </c>
      <c r="BE91" s="12" t="e">
        <f t="shared" si="127"/>
        <v>#DIV/0!</v>
      </c>
      <c r="BF91" s="241" t="e">
        <f t="shared" si="109"/>
        <v>#DIV/0!</v>
      </c>
      <c r="BG91" s="230"/>
      <c r="BH91" s="234"/>
      <c r="BI91" s="22"/>
      <c r="BJ91" s="22"/>
      <c r="BK91" s="161" t="e">
        <f>INDEX('WEG Motor'!$B$3:$AZ$55,
       MATCH(BI91,'WEG Motor'!$A$3:$A$55,0),
       MATCH(BJ91,'WEG Motor'!$B$2:$AZ$2,0))%</f>
        <v>#N/A</v>
      </c>
      <c r="BL91" s="161">
        <v>0.92</v>
      </c>
      <c r="BM91" s="161"/>
      <c r="BN91" s="162"/>
      <c r="BO91" s="163" t="e">
        <f>ROUND(((($BT$6*$BW$5*(C87*0.001)*D91)/1000)/BM91), 2)</f>
        <v>#DIV/0!</v>
      </c>
      <c r="BP91" s="22" t="e">
        <f t="shared" si="128"/>
        <v>#DIV/0!</v>
      </c>
      <c r="BQ91" s="242" t="e">
        <f t="shared" si="129"/>
        <v>#DIV/0!</v>
      </c>
      <c r="BR91" s="193"/>
    </row>
    <row r="92" spans="1:70" x14ac:dyDescent="0.3">
      <c r="A92" s="309"/>
      <c r="B92" s="309"/>
      <c r="C92" s="312"/>
      <c r="D92" s="164">
        <v>40</v>
      </c>
      <c r="E92" s="166"/>
      <c r="F92" s="146"/>
      <c r="G92" s="146"/>
      <c r="H92" s="147" t="e">
        <f>INDEX('WEG Motor'!$B$3:$AZ$55,
       MATCH(F92,'WEG Motor'!$A$3:$A$55,0),
       MATCH(G92,'WEG Motor'!$B$2:$AZ$2,0))%</f>
        <v>#N/A</v>
      </c>
      <c r="I92" s="147">
        <v>0.92</v>
      </c>
      <c r="J92" s="283"/>
      <c r="K92" s="148"/>
      <c r="L92" s="286" t="e">
        <f>ROUND(((($BT$6*$BW$5*(C87*0.001)*D92)/1000)/J92), 2)</f>
        <v>#DIV/0!</v>
      </c>
      <c r="M92" s="146" t="e">
        <f t="shared" si="123"/>
        <v>#DIV/0!</v>
      </c>
      <c r="N92" s="237" t="e">
        <f t="shared" si="101"/>
        <v>#DIV/0!</v>
      </c>
      <c r="O92" s="167"/>
      <c r="P92" s="211" t="s">
        <v>146</v>
      </c>
      <c r="Q92" s="23">
        <v>55</v>
      </c>
      <c r="R92" s="23" t="s">
        <v>35</v>
      </c>
      <c r="S92" s="149">
        <f>INDEX('WEG Motor'!$B$3:$AZ$55,
       MATCH(Q92,'WEG Motor'!$A$3:$A$55,0),
       MATCH(R92,'WEG Motor'!$B$2:$AZ$2,0))%</f>
        <v>0.94599999999999995</v>
      </c>
      <c r="T92" s="149">
        <v>0.92</v>
      </c>
      <c r="U92" s="149">
        <v>0.83320000000000005</v>
      </c>
      <c r="V92" s="150">
        <v>2.3860000000000001</v>
      </c>
      <c r="W92" s="151">
        <f>ROUND(((($BT$6*$BW$5*(C87*0.001)*D92)/1000)/U92), 2)</f>
        <v>48.03</v>
      </c>
      <c r="X92" s="23">
        <f t="shared" si="124"/>
        <v>50.77</v>
      </c>
      <c r="Y92" s="238">
        <f t="shared" si="103"/>
        <v>55.18</v>
      </c>
      <c r="Z92" s="212"/>
      <c r="AA92" s="217"/>
      <c r="AB92" s="24"/>
      <c r="AC92" s="24"/>
      <c r="AD92" s="152" t="e">
        <f>INDEX('WEG Motor'!$B$3:$AZ$55,
       MATCH(AB92,'WEG Motor'!$A$3:$A$55,0),
       MATCH(AC92,'WEG Motor'!$B$2:$AZ$2,0))%</f>
        <v>#N/A</v>
      </c>
      <c r="AE92" s="152">
        <v>0.92</v>
      </c>
      <c r="AF92" s="152"/>
      <c r="AG92" s="153"/>
      <c r="AH92" s="154" t="e">
        <f>ROUND(((($BT$6*$BW$5*(C87*0.001)*D92)/1000)/AF92), 2)</f>
        <v>#DIV/0!</v>
      </c>
      <c r="AI92" s="24" t="e">
        <f t="shared" si="125"/>
        <v>#DIV/0!</v>
      </c>
      <c r="AJ92" s="239" t="e">
        <f t="shared" si="105"/>
        <v>#DIV/0!</v>
      </c>
      <c r="AK92" s="218"/>
      <c r="AL92" s="223"/>
      <c r="AM92" s="25"/>
      <c r="AN92" s="25"/>
      <c r="AO92" s="155" t="e">
        <f>INDEX('WEG Motor'!$B$3:$AZ$55,
       MATCH(AM92,'WEG Motor'!$A$3:$A$55,0),
       MATCH(AN92,'WEG Motor'!$B$2:$AZ$2,0))%</f>
        <v>#N/A</v>
      </c>
      <c r="AP92" s="155">
        <v>0.92</v>
      </c>
      <c r="AQ92" s="155"/>
      <c r="AR92" s="156"/>
      <c r="AS92" s="157" t="e">
        <f>ROUND(((($BT$6*$BW$5*(C87*0.001)*D92)/1000)/AQ92), 2)</f>
        <v>#DIV/0!</v>
      </c>
      <c r="AT92" s="25" t="e">
        <f t="shared" si="126"/>
        <v>#DIV/0!</v>
      </c>
      <c r="AU92" s="240" t="e">
        <f t="shared" si="107"/>
        <v>#DIV/0!</v>
      </c>
      <c r="AV92" s="224"/>
      <c r="AW92" s="229"/>
      <c r="AX92" s="12"/>
      <c r="AY92" s="12"/>
      <c r="AZ92" s="158" t="e">
        <f>INDEX('WEG Motor'!$B$3:$AZ$55,
       MATCH(AX92,'WEG Motor'!$A$3:$A$55,0),
       MATCH(AY92,'WEG Motor'!$B$2:$AZ$2,0))%</f>
        <v>#N/A</v>
      </c>
      <c r="BA92" s="158">
        <v>0.92</v>
      </c>
      <c r="BB92" s="158"/>
      <c r="BC92" s="159"/>
      <c r="BD92" s="160" t="e">
        <f>ROUND(((($BT$6*$BW$5*(C87*0.001)*D92)/1000)/BB92), 2)</f>
        <v>#DIV/0!</v>
      </c>
      <c r="BE92" s="12" t="e">
        <f t="shared" si="127"/>
        <v>#DIV/0!</v>
      </c>
      <c r="BF92" s="241" t="e">
        <f t="shared" si="109"/>
        <v>#DIV/0!</v>
      </c>
      <c r="BG92" s="230"/>
      <c r="BH92" s="234"/>
      <c r="BI92" s="22"/>
      <c r="BJ92" s="22"/>
      <c r="BK92" s="161" t="e">
        <f>INDEX('WEG Motor'!$B$3:$AZ$55,
       MATCH(BI92,'WEG Motor'!$A$3:$A$55,0),
       MATCH(BJ92,'WEG Motor'!$B$2:$AZ$2,0))%</f>
        <v>#N/A</v>
      </c>
      <c r="BL92" s="161">
        <v>0.92</v>
      </c>
      <c r="BM92" s="161"/>
      <c r="BN92" s="162"/>
      <c r="BO92" s="163" t="e">
        <f>ROUND(((($BT$6*$BW$5*(C87*0.001)*D92)/1000)/BM92), 2)</f>
        <v>#DIV/0!</v>
      </c>
      <c r="BP92" s="22" t="e">
        <f t="shared" si="128"/>
        <v>#DIV/0!</v>
      </c>
      <c r="BQ92" s="242" t="e">
        <f t="shared" si="129"/>
        <v>#DIV/0!</v>
      </c>
      <c r="BR92" s="193"/>
    </row>
    <row r="93" spans="1:70" ht="15" thickBot="1" x14ac:dyDescent="0.35">
      <c r="A93" s="310"/>
      <c r="B93" s="310"/>
      <c r="C93" s="313"/>
      <c r="D93" s="165">
        <v>45</v>
      </c>
      <c r="E93" s="168"/>
      <c r="F93" s="169"/>
      <c r="G93" s="169"/>
      <c r="H93" s="170" t="e">
        <f>INDEX('WEG Motor'!$B$3:$AZ$55,
       MATCH(F93,'WEG Motor'!$A$3:$A$55,0),
       MATCH(G93,'WEG Motor'!$B$2:$AZ$2,0))%</f>
        <v>#N/A</v>
      </c>
      <c r="I93" s="170">
        <v>0.92</v>
      </c>
      <c r="J93" s="284"/>
      <c r="K93" s="171"/>
      <c r="L93" s="287" t="e">
        <f>ROUND(((($BT$6*$BW$5*(C87*0.001)*D93)/1000)/J93), 2)</f>
        <v>#DIV/0!</v>
      </c>
      <c r="M93" s="169" t="e">
        <f t="shared" si="123"/>
        <v>#DIV/0!</v>
      </c>
      <c r="N93" s="247" t="e">
        <f t="shared" si="101"/>
        <v>#DIV/0!</v>
      </c>
      <c r="O93" s="172"/>
      <c r="P93" s="213" t="s">
        <v>148</v>
      </c>
      <c r="Q93" s="194">
        <v>75</v>
      </c>
      <c r="R93" s="194" t="s">
        <v>35</v>
      </c>
      <c r="S93" s="195">
        <f>INDEX('WEG Motor'!$B$3:$AZ$55,
       MATCH(Q93,'WEG Motor'!$A$3:$A$55,0),
       MATCH(R93,'WEG Motor'!$B$2:$AZ$2,0))%</f>
        <v>0.95</v>
      </c>
      <c r="T93" s="195">
        <v>0.92</v>
      </c>
      <c r="U93" s="195">
        <v>0.83120000000000005</v>
      </c>
      <c r="V93" s="196">
        <v>2.3860000000000001</v>
      </c>
      <c r="W93" s="140">
        <f>ROUND(((($BT$6*$BW$5*(C87*0.001)*D93)/1000)/U93), 2)</f>
        <v>54.16</v>
      </c>
      <c r="X93" s="194">
        <f t="shared" si="124"/>
        <v>57.01</v>
      </c>
      <c r="Y93" s="246">
        <f t="shared" si="103"/>
        <v>61.97</v>
      </c>
      <c r="Z93" s="214"/>
      <c r="AA93" s="219"/>
      <c r="AB93" s="197"/>
      <c r="AC93" s="197"/>
      <c r="AD93" s="198" t="e">
        <f>INDEX('WEG Motor'!$B$3:$AZ$55,
       MATCH(AB93,'WEG Motor'!$A$3:$A$55,0),
       MATCH(AC93,'WEG Motor'!$B$2:$AZ$2,0))%</f>
        <v>#N/A</v>
      </c>
      <c r="AE93" s="198">
        <v>0.92</v>
      </c>
      <c r="AF93" s="198"/>
      <c r="AG93" s="199"/>
      <c r="AH93" s="141" t="e">
        <f>ROUND(((($BT$6*$BW$5*(C87*0.001)*D93)/1000)/AF93), 2)</f>
        <v>#DIV/0!</v>
      </c>
      <c r="AI93" s="197" t="e">
        <f t="shared" si="125"/>
        <v>#DIV/0!</v>
      </c>
      <c r="AJ93" s="245" t="e">
        <f t="shared" si="105"/>
        <v>#DIV/0!</v>
      </c>
      <c r="AK93" s="220"/>
      <c r="AL93" s="225"/>
      <c r="AM93" s="200"/>
      <c r="AN93" s="200"/>
      <c r="AO93" s="201" t="e">
        <f>INDEX('WEG Motor'!$B$3:$AZ$55,
       MATCH(AM93,'WEG Motor'!$A$3:$A$55,0),
       MATCH(AN93,'WEG Motor'!$B$2:$AZ$2,0))%</f>
        <v>#N/A</v>
      </c>
      <c r="AP93" s="201">
        <v>0.92</v>
      </c>
      <c r="AQ93" s="201"/>
      <c r="AR93" s="202"/>
      <c r="AS93" s="142" t="e">
        <f>ROUND(((($BT$6*$BW$5*(C87*0.001)*D93)/1000)/AQ93), 2)</f>
        <v>#DIV/0!</v>
      </c>
      <c r="AT93" s="200" t="e">
        <f t="shared" si="126"/>
        <v>#DIV/0!</v>
      </c>
      <c r="AU93" s="244" t="e">
        <f t="shared" si="107"/>
        <v>#DIV/0!</v>
      </c>
      <c r="AV93" s="226"/>
      <c r="AW93" s="231"/>
      <c r="AX93" s="203"/>
      <c r="AY93" s="203"/>
      <c r="AZ93" s="204" t="e">
        <f>INDEX('WEG Motor'!$B$3:$AZ$55,
       MATCH(AX93,'WEG Motor'!$A$3:$A$55,0),
       MATCH(AY93,'WEG Motor'!$B$2:$AZ$2,0))%</f>
        <v>#N/A</v>
      </c>
      <c r="BA93" s="204">
        <v>0.92</v>
      </c>
      <c r="BB93" s="204"/>
      <c r="BC93" s="205"/>
      <c r="BD93" s="143" t="e">
        <f>ROUND(((($BT$6*$BW$5*(C87*0.001)*D93)/1000)/BB93), 2)</f>
        <v>#DIV/0!</v>
      </c>
      <c r="BE93" s="203" t="e">
        <f t="shared" si="127"/>
        <v>#DIV/0!</v>
      </c>
      <c r="BF93" s="243" t="e">
        <f t="shared" si="109"/>
        <v>#DIV/0!</v>
      </c>
      <c r="BG93" s="232"/>
      <c r="BH93" s="235"/>
      <c r="BI93" s="66"/>
      <c r="BJ93" s="66"/>
      <c r="BK93" s="206" t="e">
        <f>INDEX('WEG Motor'!$B$3:$AZ$55,
       MATCH(BI93,'WEG Motor'!$A$3:$A$55,0),
       MATCH(BJ93,'WEG Motor'!$B$2:$AZ$2,0))%</f>
        <v>#N/A</v>
      </c>
      <c r="BL93" s="206">
        <v>0.92</v>
      </c>
      <c r="BM93" s="206"/>
      <c r="BN93" s="207"/>
      <c r="BO93" s="144" t="e">
        <f>ROUND(((($BT$6*$BW$5*(C87*0.001)*D93)/1000)/BM93), 2)</f>
        <v>#DIV/0!</v>
      </c>
      <c r="BP93" s="292" t="e">
        <f t="shared" si="128"/>
        <v>#DIV/0!</v>
      </c>
      <c r="BQ93" s="293" t="e">
        <f t="shared" si="129"/>
        <v>#DIV/0!</v>
      </c>
      <c r="BR93" s="208"/>
    </row>
    <row r="94" spans="1:70" x14ac:dyDescent="0.3">
      <c r="A94" s="308">
        <v>13</v>
      </c>
      <c r="B94" s="308">
        <v>900</v>
      </c>
      <c r="C94" s="311">
        <f>ROUND((B94 * $BW$7 * 1000) / ($BT$6 * $BW$3 * $BW$4), 0)</f>
        <v>108</v>
      </c>
      <c r="D94" s="145">
        <v>15</v>
      </c>
      <c r="E94" s="173"/>
      <c r="F94" s="53"/>
      <c r="G94" s="53"/>
      <c r="H94" s="174" t="e">
        <f>INDEX('WEG Motor'!$B$3:$AZ$55,
       MATCH(F94,'WEG Motor'!$A$3:$A$55,0),
       MATCH(G94,'WEG Motor'!$B$2:$AZ$2,0))%</f>
        <v>#N/A</v>
      </c>
      <c r="I94" s="174">
        <v>0.92</v>
      </c>
      <c r="J94" s="282"/>
      <c r="K94" s="175"/>
      <c r="L94" s="285" t="e">
        <f t="shared" ref="L94" si="131">ROUND(((($BT$6*$BW$5*(C94*0.001)*D94)/1000)/J94), 2)</f>
        <v>#DIV/0!</v>
      </c>
      <c r="M94" s="53" t="e">
        <f>ROUND((L94/H94),2)</f>
        <v>#DIV/0!</v>
      </c>
      <c r="N94" s="236" t="e">
        <f t="shared" si="101"/>
        <v>#DIV/0!</v>
      </c>
      <c r="O94" s="176"/>
      <c r="P94" s="209" t="s">
        <v>149</v>
      </c>
      <c r="Q94" s="177">
        <v>22</v>
      </c>
      <c r="R94" s="177" t="s">
        <v>35</v>
      </c>
      <c r="S94" s="178">
        <f>INDEX('WEG Motor'!$B$3:$AZ$55,
       MATCH(Q94,'WEG Motor'!$A$3:$A$55,0),
       MATCH(R94,'WEG Motor'!$B$2:$AZ$2,0))%</f>
        <v>0.93099999999999994</v>
      </c>
      <c r="T94" s="178">
        <v>0.92</v>
      </c>
      <c r="U94" s="178">
        <v>0.85860000000000003</v>
      </c>
      <c r="V94" s="179">
        <v>3.55</v>
      </c>
      <c r="W94" s="297">
        <f>ROUND(((($BT$6*$BW$5*(C94*0.001)*D94)/1000)/U94), 2)</f>
        <v>18.510000000000002</v>
      </c>
      <c r="X94" s="177">
        <f>ROUND((W94/S94),2)</f>
        <v>19.88</v>
      </c>
      <c r="Y94" s="276">
        <f t="shared" si="103"/>
        <v>21.61</v>
      </c>
      <c r="Z94" s="210"/>
      <c r="AA94" s="215"/>
      <c r="AB94" s="180"/>
      <c r="AC94" s="180"/>
      <c r="AD94" s="181" t="e">
        <f>INDEX('WEG Motor'!$B$3:$AZ$55,
       MATCH(AB94,'WEG Motor'!$A$3:$A$55,0),
       MATCH(AC94,'WEG Motor'!$B$2:$AZ$2,0))%</f>
        <v>#N/A</v>
      </c>
      <c r="AE94" s="181">
        <v>0.92</v>
      </c>
      <c r="AF94" s="181"/>
      <c r="AG94" s="182"/>
      <c r="AH94" s="296" t="e">
        <f>ROUND(((($BT$6*$BW$5*(C94*0.001)*D94)/1000)/AF94), 2)</f>
        <v>#DIV/0!</v>
      </c>
      <c r="AI94" s="180" t="e">
        <f>ROUND((AH94/AD94),2)</f>
        <v>#DIV/0!</v>
      </c>
      <c r="AJ94" s="277" t="e">
        <f t="shared" si="105"/>
        <v>#DIV/0!</v>
      </c>
      <c r="AK94" s="216"/>
      <c r="AL94" s="221"/>
      <c r="AM94" s="183"/>
      <c r="AN94" s="183"/>
      <c r="AO94" s="184" t="e">
        <f>INDEX('WEG Motor'!$B$3:$AZ$55,
       MATCH(AM94,'WEG Motor'!$A$3:$A$55,0),
       MATCH(AN94,'WEG Motor'!$B$2:$AZ$2,0))%</f>
        <v>#N/A</v>
      </c>
      <c r="AP94" s="184">
        <v>0.92</v>
      </c>
      <c r="AQ94" s="184"/>
      <c r="AR94" s="185"/>
      <c r="AS94" s="295" t="e">
        <f>ROUND(((($BT$6*$BW$5*(C94*0.001)*D94)/1000)/AQ94), 2)</f>
        <v>#DIV/0!</v>
      </c>
      <c r="AT94" s="183" t="e">
        <f>ROUND((AS94/AO94),2)</f>
        <v>#DIV/0!</v>
      </c>
      <c r="AU94" s="278" t="e">
        <f t="shared" si="107"/>
        <v>#DIV/0!</v>
      </c>
      <c r="AV94" s="222"/>
      <c r="AW94" s="227"/>
      <c r="AX94" s="186"/>
      <c r="AY94" s="186"/>
      <c r="AZ94" s="187" t="e">
        <f>INDEX('WEG Motor'!$B$3:$AZ$55,
       MATCH(AX94,'WEG Motor'!$A$3:$A$55,0),
       MATCH(AY94,'WEG Motor'!$B$2:$AZ$2,0))%</f>
        <v>#N/A</v>
      </c>
      <c r="BA94" s="187">
        <v>0.92</v>
      </c>
      <c r="BB94" s="187"/>
      <c r="BC94" s="188"/>
      <c r="BD94" s="294" t="e">
        <f>ROUND(((($BT$6*$BW$5*(C94*0.001)*D94)/1000)/BB94), 2)</f>
        <v>#DIV/0!</v>
      </c>
      <c r="BE94" s="186" t="e">
        <f>ROUND((BD94/AZ94),2)</f>
        <v>#DIV/0!</v>
      </c>
      <c r="BF94" s="279" t="e">
        <f t="shared" si="109"/>
        <v>#DIV/0!</v>
      </c>
      <c r="BG94" s="228"/>
      <c r="BH94" s="233"/>
      <c r="BI94" s="189"/>
      <c r="BJ94" s="189"/>
      <c r="BK94" s="190" t="e">
        <f>INDEX('WEG Motor'!$B$3:$AZ$55,
       MATCH(BI94,'WEG Motor'!$A$3:$A$55,0),
       MATCH(BJ94,'WEG Motor'!$B$2:$AZ$2,0))%</f>
        <v>#N/A</v>
      </c>
      <c r="BL94" s="190">
        <v>0.92</v>
      </c>
      <c r="BM94" s="190"/>
      <c r="BN94" s="191"/>
      <c r="BO94" s="289" t="e">
        <f>ROUND(((($BT$6*$BW$5*(C94*0.001)*D94)/1000)/BM94), 2)</f>
        <v>#DIV/0!</v>
      </c>
      <c r="BP94" s="290" t="e">
        <f>ROUND((BO94/BK94),2)</f>
        <v>#DIV/0!</v>
      </c>
      <c r="BQ94" s="291" t="e">
        <f>ROUND((BP94/BL94), 2)</f>
        <v>#DIV/0!</v>
      </c>
      <c r="BR94" s="192"/>
    </row>
    <row r="95" spans="1:70" x14ac:dyDescent="0.3">
      <c r="A95" s="309"/>
      <c r="B95" s="309"/>
      <c r="C95" s="312"/>
      <c r="D95" s="164">
        <v>20</v>
      </c>
      <c r="E95" s="166"/>
      <c r="F95" s="146"/>
      <c r="G95" s="146"/>
      <c r="H95" s="147" t="e">
        <f>INDEX('WEG Motor'!$B$3:$AZ$55,
       MATCH(F95,'WEG Motor'!$A$3:$A$55,0),
       MATCH(G95,'WEG Motor'!$B$2:$AZ$2,0))%</f>
        <v>#N/A</v>
      </c>
      <c r="I95" s="147">
        <v>0.92</v>
      </c>
      <c r="J95" s="283"/>
      <c r="K95" s="148"/>
      <c r="L95" s="286" t="e">
        <f>ROUND(((($BT$6*$BW$5*(C94*0.001)*D95)/1000)/J95), 2)</f>
        <v>#DIV/0!</v>
      </c>
      <c r="M95" s="146" t="e">
        <f t="shared" ref="M95:M100" si="132">ROUND((L95/H95),2)</f>
        <v>#DIV/0!</v>
      </c>
      <c r="N95" s="237" t="e">
        <f t="shared" si="101"/>
        <v>#DIV/0!</v>
      </c>
      <c r="O95" s="167"/>
      <c r="P95" s="211" t="s">
        <v>56</v>
      </c>
      <c r="Q95" s="23">
        <v>30</v>
      </c>
      <c r="R95" s="23" t="s">
        <v>35</v>
      </c>
      <c r="S95" s="149">
        <f>INDEX('WEG Motor'!$B$3:$AZ$55,
       MATCH(Q95,'WEG Motor'!$A$3:$A$55,0),
       MATCH(R95,'WEG Motor'!$B$2:$AZ$2,0))%</f>
        <v>0.93599999999999994</v>
      </c>
      <c r="T95" s="149">
        <v>0.92</v>
      </c>
      <c r="U95" s="149">
        <v>0.86029999999999995</v>
      </c>
      <c r="V95" s="150">
        <v>3.476</v>
      </c>
      <c r="W95" s="151">
        <f>ROUND(((($BT$6*$BW$5*(C94*0.001)*D95)/1000)/U95), 2)</f>
        <v>24.63</v>
      </c>
      <c r="X95" s="23">
        <f t="shared" ref="X95:X100" si="133">ROUND((W95/S95),2)</f>
        <v>26.31</v>
      </c>
      <c r="Y95" s="238">
        <f t="shared" si="103"/>
        <v>28.6</v>
      </c>
      <c r="Z95" s="212"/>
      <c r="AA95" s="217"/>
      <c r="AB95" s="24"/>
      <c r="AC95" s="24"/>
      <c r="AD95" s="152" t="e">
        <f>INDEX('WEG Motor'!$B$3:$AZ$55,
       MATCH(AB95,'WEG Motor'!$A$3:$A$55,0),
       MATCH(AC95,'WEG Motor'!$B$2:$AZ$2,0))%</f>
        <v>#N/A</v>
      </c>
      <c r="AE95" s="152">
        <v>0.92</v>
      </c>
      <c r="AF95" s="152"/>
      <c r="AG95" s="153"/>
      <c r="AH95" s="154" t="e">
        <f>ROUND(((($BT$6*$BW$5*(C94*0.001)*D95)/1000)/AF95), 2)</f>
        <v>#DIV/0!</v>
      </c>
      <c r="AI95" s="24" t="e">
        <f t="shared" ref="AI95:AI100" si="134">ROUND((AH95/AD95),2)</f>
        <v>#DIV/0!</v>
      </c>
      <c r="AJ95" s="239" t="e">
        <f t="shared" si="105"/>
        <v>#DIV/0!</v>
      </c>
      <c r="AK95" s="218"/>
      <c r="AL95" s="223"/>
      <c r="AM95" s="25"/>
      <c r="AN95" s="25"/>
      <c r="AO95" s="155" t="e">
        <f>INDEX('WEG Motor'!$B$3:$AZ$55,
       MATCH(AM95,'WEG Motor'!$A$3:$A$55,0),
       MATCH(AN95,'WEG Motor'!$B$2:$AZ$2,0))%</f>
        <v>#N/A</v>
      </c>
      <c r="AP95" s="155">
        <v>0.92</v>
      </c>
      <c r="AQ95" s="155"/>
      <c r="AR95" s="156"/>
      <c r="AS95" s="157" t="e">
        <f>ROUND(((($BT$6*$BW$5*(C94*0.001)*D95)/1000)/AQ95), 2)</f>
        <v>#DIV/0!</v>
      </c>
      <c r="AT95" s="25" t="e">
        <f t="shared" ref="AT95:AT100" si="135">ROUND((AS95/AO95),2)</f>
        <v>#DIV/0!</v>
      </c>
      <c r="AU95" s="240" t="e">
        <f t="shared" si="107"/>
        <v>#DIV/0!</v>
      </c>
      <c r="AV95" s="224"/>
      <c r="AW95" s="229"/>
      <c r="AX95" s="12"/>
      <c r="AY95" s="12"/>
      <c r="AZ95" s="158" t="e">
        <f>INDEX('WEG Motor'!$B$3:$AZ$55,
       MATCH(AX95,'WEG Motor'!$A$3:$A$55,0),
       MATCH(AY95,'WEG Motor'!$B$2:$AZ$2,0))%</f>
        <v>#N/A</v>
      </c>
      <c r="BA95" s="158">
        <v>0.92</v>
      </c>
      <c r="BB95" s="158"/>
      <c r="BC95" s="159"/>
      <c r="BD95" s="160" t="e">
        <f>ROUND(((($BT$6*$BW$5*(C94*0.001)*D95)/1000)/BB95), 2)</f>
        <v>#DIV/0!</v>
      </c>
      <c r="BE95" s="12" t="e">
        <f t="shared" ref="BE95:BE100" si="136">ROUND((BD95/AZ95),2)</f>
        <v>#DIV/0!</v>
      </c>
      <c r="BF95" s="241" t="e">
        <f t="shared" si="109"/>
        <v>#DIV/0!</v>
      </c>
      <c r="BG95" s="230"/>
      <c r="BH95" s="234"/>
      <c r="BI95" s="22"/>
      <c r="BJ95" s="22"/>
      <c r="BK95" s="161" t="e">
        <f>INDEX('WEG Motor'!$B$3:$AZ$55,
       MATCH(BI95,'WEG Motor'!$A$3:$A$55,0),
       MATCH(BJ95,'WEG Motor'!$B$2:$AZ$2,0))%</f>
        <v>#N/A</v>
      </c>
      <c r="BL95" s="161">
        <v>0.92</v>
      </c>
      <c r="BM95" s="161"/>
      <c r="BN95" s="162"/>
      <c r="BO95" s="163" t="e">
        <f>ROUND(((($BT$6*$BW$5*(C94*0.001)*D95)/1000)/BM95), 2)</f>
        <v>#DIV/0!</v>
      </c>
      <c r="BP95" s="22" t="e">
        <f t="shared" ref="BP95:BP100" si="137">ROUND((BO95/BK95),2)</f>
        <v>#DIV/0!</v>
      </c>
      <c r="BQ95" s="242" t="e">
        <f t="shared" ref="BQ95:BQ100" si="138">ROUND((BP95/BL95), 2)</f>
        <v>#DIV/0!</v>
      </c>
      <c r="BR95" s="193"/>
    </row>
    <row r="96" spans="1:70" x14ac:dyDescent="0.3">
      <c r="A96" s="309"/>
      <c r="B96" s="309"/>
      <c r="C96" s="312"/>
      <c r="D96" s="164">
        <v>25</v>
      </c>
      <c r="E96" s="166"/>
      <c r="F96" s="146"/>
      <c r="G96" s="146"/>
      <c r="H96" s="147" t="e">
        <f>INDEX('WEG Motor'!$B$3:$AZ$55,
       MATCH(F96,'WEG Motor'!$A$3:$A$55,0),
       MATCH(G96,'WEG Motor'!$B$2:$AZ$2,0))%</f>
        <v>#N/A</v>
      </c>
      <c r="I96" s="147">
        <v>0.92</v>
      </c>
      <c r="J96" s="283"/>
      <c r="K96" s="148"/>
      <c r="L96" s="286" t="e">
        <f>ROUND(((($BT$6*$BW$5*(C94*0.001)*D96)/1000)/J96), 2)</f>
        <v>#DIV/0!</v>
      </c>
      <c r="M96" s="146" t="e">
        <f t="shared" si="132"/>
        <v>#DIV/0!</v>
      </c>
      <c r="N96" s="237" t="e">
        <f t="shared" si="101"/>
        <v>#DIV/0!</v>
      </c>
      <c r="O96" s="167"/>
      <c r="P96" s="211" t="s">
        <v>63</v>
      </c>
      <c r="Q96" s="23">
        <v>37</v>
      </c>
      <c r="R96" s="23" t="s">
        <v>35</v>
      </c>
      <c r="S96" s="149">
        <f>INDEX('WEG Motor'!$B$3:$AZ$55,
       MATCH(Q96,'WEG Motor'!$A$3:$A$55,0),
       MATCH(R96,'WEG Motor'!$B$2:$AZ$2,0))%</f>
        <v>0.93900000000000006</v>
      </c>
      <c r="T96" s="149">
        <v>0.92</v>
      </c>
      <c r="U96" s="149">
        <v>0.87360000000000004</v>
      </c>
      <c r="V96" s="150">
        <v>3.476</v>
      </c>
      <c r="W96" s="151">
        <f>ROUND(((($BT$6*$BW$5*(C94*0.001)*D96)/1000)/U96), 2)</f>
        <v>30.31</v>
      </c>
      <c r="X96" s="23">
        <f t="shared" si="133"/>
        <v>32.28</v>
      </c>
      <c r="Y96" s="238">
        <f t="shared" si="103"/>
        <v>35.090000000000003</v>
      </c>
      <c r="Z96" s="212"/>
      <c r="AA96" s="217"/>
      <c r="AB96" s="24"/>
      <c r="AC96" s="24"/>
      <c r="AD96" s="152" t="e">
        <f>INDEX('WEG Motor'!$B$3:$AZ$55,
       MATCH(AB96,'WEG Motor'!$A$3:$A$55,0),
       MATCH(AC96,'WEG Motor'!$B$2:$AZ$2,0))%</f>
        <v>#N/A</v>
      </c>
      <c r="AE96" s="152">
        <v>0.92</v>
      </c>
      <c r="AF96" s="152"/>
      <c r="AG96" s="153"/>
      <c r="AH96" s="154" t="e">
        <f>ROUND(((($BT$6*$BW$5*(C94*0.001)*D96)/1000)/AF96), 2)</f>
        <v>#DIV/0!</v>
      </c>
      <c r="AI96" s="24" t="e">
        <f t="shared" si="134"/>
        <v>#DIV/0!</v>
      </c>
      <c r="AJ96" s="239" t="e">
        <f t="shared" si="105"/>
        <v>#DIV/0!</v>
      </c>
      <c r="AK96" s="218"/>
      <c r="AL96" s="223"/>
      <c r="AM96" s="25"/>
      <c r="AN96" s="25"/>
      <c r="AO96" s="155" t="e">
        <f>INDEX('WEG Motor'!$B$3:$AZ$55,
       MATCH(AM96,'WEG Motor'!$A$3:$A$55,0),
       MATCH(AN96,'WEG Motor'!$B$2:$AZ$2,0))%</f>
        <v>#N/A</v>
      </c>
      <c r="AP96" s="155">
        <v>0.92</v>
      </c>
      <c r="AQ96" s="155"/>
      <c r="AR96" s="156"/>
      <c r="AS96" s="157" t="e">
        <f>ROUND(((($BT$6*$BW$5*(C94*0.001)*D96)/1000)/AQ96), 2)</f>
        <v>#DIV/0!</v>
      </c>
      <c r="AT96" s="25" t="e">
        <f t="shared" si="135"/>
        <v>#DIV/0!</v>
      </c>
      <c r="AU96" s="240" t="e">
        <f t="shared" si="107"/>
        <v>#DIV/0!</v>
      </c>
      <c r="AV96" s="224"/>
      <c r="AW96" s="229"/>
      <c r="AX96" s="12"/>
      <c r="AY96" s="12"/>
      <c r="AZ96" s="158" t="e">
        <f>INDEX('WEG Motor'!$B$3:$AZ$55,
       MATCH(AX96,'WEG Motor'!$A$3:$A$55,0),
       MATCH(AY96,'WEG Motor'!$B$2:$AZ$2,0))%</f>
        <v>#N/A</v>
      </c>
      <c r="BA96" s="158">
        <v>0.92</v>
      </c>
      <c r="BB96" s="158"/>
      <c r="BC96" s="159"/>
      <c r="BD96" s="160" t="e">
        <f>ROUND(((($BT$6*$BW$5*(C94*0.001)*D96)/1000)/BB96), 2)</f>
        <v>#DIV/0!</v>
      </c>
      <c r="BE96" s="12" t="e">
        <f t="shared" si="136"/>
        <v>#DIV/0!</v>
      </c>
      <c r="BF96" s="241" t="e">
        <f t="shared" si="109"/>
        <v>#DIV/0!</v>
      </c>
      <c r="BG96" s="230"/>
      <c r="BH96" s="234"/>
      <c r="BI96" s="22"/>
      <c r="BJ96" s="22"/>
      <c r="BK96" s="161" t="e">
        <f>INDEX('WEG Motor'!$B$3:$AZ$55,
       MATCH(BI96,'WEG Motor'!$A$3:$A$55,0),
       MATCH(BJ96,'WEG Motor'!$B$2:$AZ$2,0))%</f>
        <v>#N/A</v>
      </c>
      <c r="BL96" s="161">
        <v>0.92</v>
      </c>
      <c r="BM96" s="161"/>
      <c r="BN96" s="162"/>
      <c r="BO96" s="163" t="e">
        <f>ROUND(((($BT$6*$BW$5*(C94*0.001)*D96)/1000)/BM96), 2)</f>
        <v>#DIV/0!</v>
      </c>
      <c r="BP96" s="22" t="e">
        <f t="shared" si="137"/>
        <v>#DIV/0!</v>
      </c>
      <c r="BQ96" s="242" t="e">
        <f t="shared" si="138"/>
        <v>#DIV/0!</v>
      </c>
      <c r="BR96" s="193"/>
    </row>
    <row r="97" spans="1:70" x14ac:dyDescent="0.3">
      <c r="A97" s="309"/>
      <c r="B97" s="309"/>
      <c r="C97" s="312"/>
      <c r="D97" s="164">
        <v>30</v>
      </c>
      <c r="E97" s="166"/>
      <c r="F97" s="146"/>
      <c r="G97" s="146"/>
      <c r="H97" s="147" t="e">
        <f>INDEX('WEG Motor'!$B$3:$AZ$55,
       MATCH(F97,'WEG Motor'!$A$3:$A$55,0),
       MATCH(G97,'WEG Motor'!$B$2:$AZ$2,0))%</f>
        <v>#N/A</v>
      </c>
      <c r="I97" s="147">
        <v>0.92</v>
      </c>
      <c r="J97" s="283"/>
      <c r="K97" s="148"/>
      <c r="L97" s="286" t="e">
        <f>ROUND(((($BT$6*$BW$5*(C94*0.001)*D97)/1000)/J97), 2)</f>
        <v>#DIV/0!</v>
      </c>
      <c r="M97" s="146" t="e">
        <f t="shared" si="132"/>
        <v>#DIV/0!</v>
      </c>
      <c r="N97" s="237" t="e">
        <f t="shared" si="101"/>
        <v>#DIV/0!</v>
      </c>
      <c r="O97" s="167"/>
      <c r="P97" s="211" t="s">
        <v>64</v>
      </c>
      <c r="Q97" s="23">
        <v>45</v>
      </c>
      <c r="R97" s="23" t="s">
        <v>35</v>
      </c>
      <c r="S97" s="149">
        <f>INDEX('WEG Motor'!$B$3:$AZ$55,
       MATCH(Q97,'WEG Motor'!$A$3:$A$55,0),
       MATCH(R97,'WEG Motor'!$B$2:$AZ$2,0))%</f>
        <v>0.94200000000000006</v>
      </c>
      <c r="T97" s="149">
        <v>0.92</v>
      </c>
      <c r="U97" s="149">
        <v>0.87529999999999997</v>
      </c>
      <c r="V97" s="150">
        <v>3.476</v>
      </c>
      <c r="W97" s="151">
        <f>ROUND(((($BT$6*$BW$5*(C94*0.001)*D97)/1000)/U97), 2)</f>
        <v>36.299999999999997</v>
      </c>
      <c r="X97" s="23">
        <f t="shared" si="133"/>
        <v>38.54</v>
      </c>
      <c r="Y97" s="238">
        <f t="shared" si="103"/>
        <v>41.89</v>
      </c>
      <c r="Z97" s="212"/>
      <c r="AA97" s="217"/>
      <c r="AB97" s="24"/>
      <c r="AC97" s="24"/>
      <c r="AD97" s="152" t="e">
        <f>INDEX('WEG Motor'!$B$3:$AZ$55,
       MATCH(AB97,'WEG Motor'!$A$3:$A$55,0),
       MATCH(AC97,'WEG Motor'!$B$2:$AZ$2,0))%</f>
        <v>#N/A</v>
      </c>
      <c r="AE97" s="152">
        <v>0.92</v>
      </c>
      <c r="AF97" s="152"/>
      <c r="AG97" s="153"/>
      <c r="AH97" s="154" t="e">
        <f>ROUND(((($BT$6*$BW$5*(C94*0.001)*D97)/1000)/AF97), 2)</f>
        <v>#DIV/0!</v>
      </c>
      <c r="AI97" s="24" t="e">
        <f t="shared" si="134"/>
        <v>#DIV/0!</v>
      </c>
      <c r="AJ97" s="239" t="e">
        <f t="shared" si="105"/>
        <v>#DIV/0!</v>
      </c>
      <c r="AK97" s="218"/>
      <c r="AL97" s="223"/>
      <c r="AM97" s="25"/>
      <c r="AN97" s="25"/>
      <c r="AO97" s="155" t="e">
        <f>INDEX('WEG Motor'!$B$3:$AZ$55,
       MATCH(AM97,'WEG Motor'!$A$3:$A$55,0),
       MATCH(AN97,'WEG Motor'!$B$2:$AZ$2,0))%</f>
        <v>#N/A</v>
      </c>
      <c r="AP97" s="155">
        <v>0.92</v>
      </c>
      <c r="AQ97" s="155"/>
      <c r="AR97" s="156"/>
      <c r="AS97" s="157" t="e">
        <f>ROUND(((($BT$6*$BW$5*(C94*0.001)*D97)/1000)/AQ97), 2)</f>
        <v>#DIV/0!</v>
      </c>
      <c r="AT97" s="25" t="e">
        <f t="shared" si="135"/>
        <v>#DIV/0!</v>
      </c>
      <c r="AU97" s="240" t="e">
        <f t="shared" si="107"/>
        <v>#DIV/0!</v>
      </c>
      <c r="AV97" s="224"/>
      <c r="AW97" s="229"/>
      <c r="AX97" s="12"/>
      <c r="AY97" s="12"/>
      <c r="AZ97" s="158" t="e">
        <f>INDEX('WEG Motor'!$B$3:$AZ$55,
       MATCH(AX97,'WEG Motor'!$A$3:$A$55,0),
       MATCH(AY97,'WEG Motor'!$B$2:$AZ$2,0))%</f>
        <v>#N/A</v>
      </c>
      <c r="BA97" s="158">
        <v>0.92</v>
      </c>
      <c r="BB97" s="158"/>
      <c r="BC97" s="159"/>
      <c r="BD97" s="160" t="e">
        <f>ROUND(((($BT$6*$BW$5*(C94*0.001)*D97)/1000)/BB97), 2)</f>
        <v>#DIV/0!</v>
      </c>
      <c r="BE97" s="12" t="e">
        <f t="shared" si="136"/>
        <v>#DIV/0!</v>
      </c>
      <c r="BF97" s="241" t="e">
        <f t="shared" si="109"/>
        <v>#DIV/0!</v>
      </c>
      <c r="BG97" s="230"/>
      <c r="BH97" s="234"/>
      <c r="BI97" s="22"/>
      <c r="BJ97" s="22"/>
      <c r="BK97" s="161" t="e">
        <f>INDEX('WEG Motor'!$B$3:$AZ$55,
       MATCH(BI97,'WEG Motor'!$A$3:$A$55,0),
       MATCH(BJ97,'WEG Motor'!$B$2:$AZ$2,0))%</f>
        <v>#N/A</v>
      </c>
      <c r="BL97" s="161">
        <v>0.92</v>
      </c>
      <c r="BM97" s="161"/>
      <c r="BN97" s="162"/>
      <c r="BO97" s="163" t="e">
        <f>ROUND(((($BT$6*$BW$5*(C94*0.001)*D97)/1000)/BM97), 2)</f>
        <v>#DIV/0!</v>
      </c>
      <c r="BP97" s="22" t="e">
        <f t="shared" si="137"/>
        <v>#DIV/0!</v>
      </c>
      <c r="BQ97" s="242" t="e">
        <f t="shared" si="138"/>
        <v>#DIV/0!</v>
      </c>
      <c r="BR97" s="193"/>
    </row>
    <row r="98" spans="1:70" x14ac:dyDescent="0.3">
      <c r="A98" s="309"/>
      <c r="B98" s="309"/>
      <c r="C98" s="312"/>
      <c r="D98" s="164">
        <v>35</v>
      </c>
      <c r="E98" s="166"/>
      <c r="F98" s="146"/>
      <c r="G98" s="146"/>
      <c r="H98" s="147" t="e">
        <f>INDEX('WEG Motor'!$B$3:$AZ$55,
       MATCH(F98,'WEG Motor'!$A$3:$A$55,0),
       MATCH(G98,'WEG Motor'!$B$2:$AZ$2,0))%</f>
        <v>#N/A</v>
      </c>
      <c r="I98" s="147">
        <v>0.92</v>
      </c>
      <c r="J98" s="283"/>
      <c r="K98" s="148"/>
      <c r="L98" s="286" t="e">
        <f t="shared" ref="L98" si="139">ROUND(((($BT$6*$BW$5*(C98*0.001)*D98)/1000)/J98), 2)</f>
        <v>#DIV/0!</v>
      </c>
      <c r="M98" s="146" t="e">
        <f t="shared" si="132"/>
        <v>#DIV/0!</v>
      </c>
      <c r="N98" s="237" t="e">
        <f t="shared" si="101"/>
        <v>#DIV/0!</v>
      </c>
      <c r="O98" s="167"/>
      <c r="P98" s="211" t="s">
        <v>146</v>
      </c>
      <c r="Q98" s="23">
        <v>55</v>
      </c>
      <c r="R98" s="23" t="s">
        <v>35</v>
      </c>
      <c r="S98" s="149">
        <f>INDEX('WEG Motor'!$B$3:$AZ$55,
       MATCH(Q98,'WEG Motor'!$A$3:$A$55,0),
       MATCH(R98,'WEG Motor'!$B$2:$AZ$2,0))%</f>
        <v>0.94599999999999995</v>
      </c>
      <c r="T98" s="149">
        <v>0.92</v>
      </c>
      <c r="U98" s="149">
        <v>0.83489999999999998</v>
      </c>
      <c r="V98" s="150">
        <v>2.5219999999999998</v>
      </c>
      <c r="W98" s="151">
        <f>ROUND(((($BT$6*$BW$5*(C94*0.001)*D98)/1000)/U98), 2)</f>
        <v>44.4</v>
      </c>
      <c r="X98" s="23">
        <f t="shared" si="133"/>
        <v>46.93</v>
      </c>
      <c r="Y98" s="238">
        <f t="shared" si="103"/>
        <v>51.01</v>
      </c>
      <c r="Z98" s="212"/>
      <c r="AA98" s="217"/>
      <c r="AB98" s="24"/>
      <c r="AC98" s="24"/>
      <c r="AD98" s="152" t="e">
        <f>INDEX('WEG Motor'!$B$3:$AZ$55,
       MATCH(AB98,'WEG Motor'!$A$3:$A$55,0),
       MATCH(AC98,'WEG Motor'!$B$2:$AZ$2,0))%</f>
        <v>#N/A</v>
      </c>
      <c r="AE98" s="152">
        <v>0.92</v>
      </c>
      <c r="AF98" s="152"/>
      <c r="AG98" s="153"/>
      <c r="AH98" s="154" t="e">
        <f>ROUND(((($BT$6*$BW$5*(C94*0.001)*D98)/1000)/AF98), 2)</f>
        <v>#DIV/0!</v>
      </c>
      <c r="AI98" s="24" t="e">
        <f t="shared" si="134"/>
        <v>#DIV/0!</v>
      </c>
      <c r="AJ98" s="239" t="e">
        <f t="shared" si="105"/>
        <v>#DIV/0!</v>
      </c>
      <c r="AK98" s="218"/>
      <c r="AL98" s="223"/>
      <c r="AM98" s="25"/>
      <c r="AN98" s="25"/>
      <c r="AO98" s="155" t="e">
        <f>INDEX('WEG Motor'!$B$3:$AZ$55,
       MATCH(AM98,'WEG Motor'!$A$3:$A$55,0),
       MATCH(AN98,'WEG Motor'!$B$2:$AZ$2,0))%</f>
        <v>#N/A</v>
      </c>
      <c r="AP98" s="155">
        <v>0.92</v>
      </c>
      <c r="AQ98" s="155"/>
      <c r="AR98" s="156"/>
      <c r="AS98" s="157" t="e">
        <f>ROUND(((($BT$6*$BW$5*(C94*0.001)*D98)/1000)/AQ98), 2)</f>
        <v>#DIV/0!</v>
      </c>
      <c r="AT98" s="25" t="e">
        <f t="shared" si="135"/>
        <v>#DIV/0!</v>
      </c>
      <c r="AU98" s="240" t="e">
        <f t="shared" si="107"/>
        <v>#DIV/0!</v>
      </c>
      <c r="AV98" s="224"/>
      <c r="AW98" s="229"/>
      <c r="AX98" s="12"/>
      <c r="AY98" s="12"/>
      <c r="AZ98" s="158" t="e">
        <f>INDEX('WEG Motor'!$B$3:$AZ$55,
       MATCH(AX98,'WEG Motor'!$A$3:$A$55,0),
       MATCH(AY98,'WEG Motor'!$B$2:$AZ$2,0))%</f>
        <v>#N/A</v>
      </c>
      <c r="BA98" s="158">
        <v>0.92</v>
      </c>
      <c r="BB98" s="158"/>
      <c r="BC98" s="159"/>
      <c r="BD98" s="160" t="e">
        <f>ROUND(((($BT$6*$BW$5*(C94*0.001)*D98)/1000)/BB98), 2)</f>
        <v>#DIV/0!</v>
      </c>
      <c r="BE98" s="12" t="e">
        <f t="shared" si="136"/>
        <v>#DIV/0!</v>
      </c>
      <c r="BF98" s="241" t="e">
        <f t="shared" si="109"/>
        <v>#DIV/0!</v>
      </c>
      <c r="BG98" s="230"/>
      <c r="BH98" s="234"/>
      <c r="BI98" s="22"/>
      <c r="BJ98" s="22"/>
      <c r="BK98" s="161" t="e">
        <f>INDEX('WEG Motor'!$B$3:$AZ$55,
       MATCH(BI98,'WEG Motor'!$A$3:$A$55,0),
       MATCH(BJ98,'WEG Motor'!$B$2:$AZ$2,0))%</f>
        <v>#N/A</v>
      </c>
      <c r="BL98" s="161">
        <v>0.92</v>
      </c>
      <c r="BM98" s="161"/>
      <c r="BN98" s="162"/>
      <c r="BO98" s="163" t="e">
        <f>ROUND(((($BT$6*$BW$5*(C94*0.001)*D98)/1000)/BM98), 2)</f>
        <v>#DIV/0!</v>
      </c>
      <c r="BP98" s="22" t="e">
        <f t="shared" si="137"/>
        <v>#DIV/0!</v>
      </c>
      <c r="BQ98" s="242" t="e">
        <f t="shared" si="138"/>
        <v>#DIV/0!</v>
      </c>
      <c r="BR98" s="193"/>
    </row>
    <row r="99" spans="1:70" x14ac:dyDescent="0.3">
      <c r="A99" s="309"/>
      <c r="B99" s="309"/>
      <c r="C99" s="312"/>
      <c r="D99" s="164">
        <v>40</v>
      </c>
      <c r="E99" s="166"/>
      <c r="F99" s="146"/>
      <c r="G99" s="146"/>
      <c r="H99" s="147" t="e">
        <f>INDEX('WEG Motor'!$B$3:$AZ$55,
       MATCH(F99,'WEG Motor'!$A$3:$A$55,0),
       MATCH(G99,'WEG Motor'!$B$2:$AZ$2,0))%</f>
        <v>#N/A</v>
      </c>
      <c r="I99" s="147">
        <v>0.92</v>
      </c>
      <c r="J99" s="283"/>
      <c r="K99" s="148"/>
      <c r="L99" s="286" t="e">
        <f>ROUND(((($BT$6*$BW$5*(C94*0.001)*D99)/1000)/J99), 2)</f>
        <v>#DIV/0!</v>
      </c>
      <c r="M99" s="146" t="e">
        <f t="shared" si="132"/>
        <v>#DIV/0!</v>
      </c>
      <c r="N99" s="237" t="e">
        <f t="shared" si="101"/>
        <v>#DIV/0!</v>
      </c>
      <c r="O99" s="167"/>
      <c r="P99" s="211" t="s">
        <v>148</v>
      </c>
      <c r="Q99" s="23">
        <v>75</v>
      </c>
      <c r="R99" s="23" t="s">
        <v>35</v>
      </c>
      <c r="S99" s="149">
        <f>INDEX('WEG Motor'!$B$3:$AZ$55,
       MATCH(Q99,'WEG Motor'!$A$3:$A$55,0),
       MATCH(R99,'WEG Motor'!$B$2:$AZ$2,0))%</f>
        <v>0.95</v>
      </c>
      <c r="T99" s="149">
        <v>0.92</v>
      </c>
      <c r="U99" s="149">
        <v>0.8407</v>
      </c>
      <c r="V99" s="150">
        <v>2.5219999999999998</v>
      </c>
      <c r="W99" s="151">
        <f>ROUND(((($BT$6*$BW$5*(C94*0.001)*D99)/1000)/U99), 2)</f>
        <v>50.4</v>
      </c>
      <c r="X99" s="23">
        <f t="shared" si="133"/>
        <v>53.05</v>
      </c>
      <c r="Y99" s="238">
        <f t="shared" si="103"/>
        <v>57.66</v>
      </c>
      <c r="Z99" s="212"/>
      <c r="AA99" s="217"/>
      <c r="AB99" s="24"/>
      <c r="AC99" s="24"/>
      <c r="AD99" s="152" t="e">
        <f>INDEX('WEG Motor'!$B$3:$AZ$55,
       MATCH(AB99,'WEG Motor'!$A$3:$A$55,0),
       MATCH(AC99,'WEG Motor'!$B$2:$AZ$2,0))%</f>
        <v>#N/A</v>
      </c>
      <c r="AE99" s="152">
        <v>0.92</v>
      </c>
      <c r="AF99" s="152"/>
      <c r="AG99" s="153"/>
      <c r="AH99" s="154" t="e">
        <f>ROUND(((($BT$6*$BW$5*(C94*0.001)*D99)/1000)/AF99), 2)</f>
        <v>#DIV/0!</v>
      </c>
      <c r="AI99" s="24" t="e">
        <f t="shared" si="134"/>
        <v>#DIV/0!</v>
      </c>
      <c r="AJ99" s="239" t="e">
        <f t="shared" si="105"/>
        <v>#DIV/0!</v>
      </c>
      <c r="AK99" s="218"/>
      <c r="AL99" s="223"/>
      <c r="AM99" s="25"/>
      <c r="AN99" s="25"/>
      <c r="AO99" s="155" t="e">
        <f>INDEX('WEG Motor'!$B$3:$AZ$55,
       MATCH(AM99,'WEG Motor'!$A$3:$A$55,0),
       MATCH(AN99,'WEG Motor'!$B$2:$AZ$2,0))%</f>
        <v>#N/A</v>
      </c>
      <c r="AP99" s="155">
        <v>0.92</v>
      </c>
      <c r="AQ99" s="155"/>
      <c r="AR99" s="156"/>
      <c r="AS99" s="157" t="e">
        <f>ROUND(((($BT$6*$BW$5*(C94*0.001)*D99)/1000)/AQ99), 2)</f>
        <v>#DIV/0!</v>
      </c>
      <c r="AT99" s="25" t="e">
        <f t="shared" si="135"/>
        <v>#DIV/0!</v>
      </c>
      <c r="AU99" s="240" t="e">
        <f t="shared" si="107"/>
        <v>#DIV/0!</v>
      </c>
      <c r="AV99" s="224"/>
      <c r="AW99" s="229"/>
      <c r="AX99" s="12"/>
      <c r="AY99" s="12"/>
      <c r="AZ99" s="158" t="e">
        <f>INDEX('WEG Motor'!$B$3:$AZ$55,
       MATCH(AX99,'WEG Motor'!$A$3:$A$55,0),
       MATCH(AY99,'WEG Motor'!$B$2:$AZ$2,0))%</f>
        <v>#N/A</v>
      </c>
      <c r="BA99" s="158">
        <v>0.92</v>
      </c>
      <c r="BB99" s="158"/>
      <c r="BC99" s="159"/>
      <c r="BD99" s="160" t="e">
        <f>ROUND(((($BT$6*$BW$5*(C94*0.001)*D99)/1000)/BB99), 2)</f>
        <v>#DIV/0!</v>
      </c>
      <c r="BE99" s="12" t="e">
        <f t="shared" si="136"/>
        <v>#DIV/0!</v>
      </c>
      <c r="BF99" s="241" t="e">
        <f t="shared" si="109"/>
        <v>#DIV/0!</v>
      </c>
      <c r="BG99" s="230"/>
      <c r="BH99" s="234"/>
      <c r="BI99" s="22"/>
      <c r="BJ99" s="22"/>
      <c r="BK99" s="161" t="e">
        <f>INDEX('WEG Motor'!$B$3:$AZ$55,
       MATCH(BI99,'WEG Motor'!$A$3:$A$55,0),
       MATCH(BJ99,'WEG Motor'!$B$2:$AZ$2,0))%</f>
        <v>#N/A</v>
      </c>
      <c r="BL99" s="161">
        <v>0.92</v>
      </c>
      <c r="BM99" s="161"/>
      <c r="BN99" s="162"/>
      <c r="BO99" s="163" t="e">
        <f>ROUND(((($BT$6*$BW$5*(C94*0.001)*D99)/1000)/BM99), 2)</f>
        <v>#DIV/0!</v>
      </c>
      <c r="BP99" s="22" t="e">
        <f t="shared" si="137"/>
        <v>#DIV/0!</v>
      </c>
      <c r="BQ99" s="242" t="e">
        <f t="shared" si="138"/>
        <v>#DIV/0!</v>
      </c>
      <c r="BR99" s="193"/>
    </row>
    <row r="100" spans="1:70" ht="15" thickBot="1" x14ac:dyDescent="0.35">
      <c r="A100" s="310"/>
      <c r="B100" s="310"/>
      <c r="C100" s="313"/>
      <c r="D100" s="165">
        <v>45</v>
      </c>
      <c r="E100" s="168"/>
      <c r="F100" s="169"/>
      <c r="G100" s="169"/>
      <c r="H100" s="170" t="e">
        <f>INDEX('WEG Motor'!$B$3:$AZ$55,
       MATCH(F100,'WEG Motor'!$A$3:$A$55,0),
       MATCH(G100,'WEG Motor'!$B$2:$AZ$2,0))%</f>
        <v>#N/A</v>
      </c>
      <c r="I100" s="170">
        <v>0.92</v>
      </c>
      <c r="J100" s="284"/>
      <c r="K100" s="171"/>
      <c r="L100" s="287" t="e">
        <f>ROUND(((($BT$6*$BW$5*(C94*0.001)*D100)/1000)/J100), 2)</f>
        <v>#DIV/0!</v>
      </c>
      <c r="M100" s="169" t="e">
        <f t="shared" si="132"/>
        <v>#DIV/0!</v>
      </c>
      <c r="N100" s="247" t="e">
        <f t="shared" si="101"/>
        <v>#DIV/0!</v>
      </c>
      <c r="O100" s="172"/>
      <c r="P100" s="213" t="s">
        <v>148</v>
      </c>
      <c r="Q100" s="194">
        <v>75</v>
      </c>
      <c r="R100" s="194" t="s">
        <v>35</v>
      </c>
      <c r="S100" s="195">
        <f>INDEX('WEG Motor'!$B$3:$AZ$55,
       MATCH(Q100,'WEG Motor'!$A$3:$A$55,0),
       MATCH(R100,'WEG Motor'!$B$2:$AZ$2,0))%</f>
        <v>0.95</v>
      </c>
      <c r="T100" s="195">
        <v>0.92</v>
      </c>
      <c r="U100" s="195">
        <v>0.84079999999999999</v>
      </c>
      <c r="V100" s="196">
        <v>2.5219999999999998</v>
      </c>
      <c r="W100" s="140">
        <f>ROUND(((($BT$6*$BW$5*(C94*0.001)*D100)/1000)/U100), 2)</f>
        <v>56.69</v>
      </c>
      <c r="X100" s="194">
        <f t="shared" si="133"/>
        <v>59.67</v>
      </c>
      <c r="Y100" s="246">
        <f t="shared" si="103"/>
        <v>64.86</v>
      </c>
      <c r="Z100" s="214"/>
      <c r="AA100" s="219"/>
      <c r="AB100" s="197"/>
      <c r="AC100" s="197"/>
      <c r="AD100" s="198" t="e">
        <f>INDEX('WEG Motor'!$B$3:$AZ$55,
       MATCH(AB100,'WEG Motor'!$A$3:$A$55,0),
       MATCH(AC100,'WEG Motor'!$B$2:$AZ$2,0))%</f>
        <v>#N/A</v>
      </c>
      <c r="AE100" s="198">
        <v>0.92</v>
      </c>
      <c r="AF100" s="198"/>
      <c r="AG100" s="199"/>
      <c r="AH100" s="141" t="e">
        <f>ROUND(((($BT$6*$BW$5*(C94*0.001)*D100)/1000)/AF100), 2)</f>
        <v>#DIV/0!</v>
      </c>
      <c r="AI100" s="197" t="e">
        <f t="shared" si="134"/>
        <v>#DIV/0!</v>
      </c>
      <c r="AJ100" s="245" t="e">
        <f t="shared" si="105"/>
        <v>#DIV/0!</v>
      </c>
      <c r="AK100" s="220"/>
      <c r="AL100" s="225"/>
      <c r="AM100" s="200"/>
      <c r="AN100" s="200"/>
      <c r="AO100" s="201" t="e">
        <f>INDEX('WEG Motor'!$B$3:$AZ$55,
       MATCH(AM100,'WEG Motor'!$A$3:$A$55,0),
       MATCH(AN100,'WEG Motor'!$B$2:$AZ$2,0))%</f>
        <v>#N/A</v>
      </c>
      <c r="AP100" s="201">
        <v>0.92</v>
      </c>
      <c r="AQ100" s="201"/>
      <c r="AR100" s="202"/>
      <c r="AS100" s="142" t="e">
        <f>ROUND(((($BT$6*$BW$5*(C94*0.001)*D100)/1000)/AQ100), 2)</f>
        <v>#DIV/0!</v>
      </c>
      <c r="AT100" s="200" t="e">
        <f t="shared" si="135"/>
        <v>#DIV/0!</v>
      </c>
      <c r="AU100" s="244" t="e">
        <f t="shared" si="107"/>
        <v>#DIV/0!</v>
      </c>
      <c r="AV100" s="226"/>
      <c r="AW100" s="231"/>
      <c r="AX100" s="203"/>
      <c r="AY100" s="203"/>
      <c r="AZ100" s="204" t="e">
        <f>INDEX('WEG Motor'!$B$3:$AZ$55,
       MATCH(AX100,'WEG Motor'!$A$3:$A$55,0),
       MATCH(AY100,'WEG Motor'!$B$2:$AZ$2,0))%</f>
        <v>#N/A</v>
      </c>
      <c r="BA100" s="204">
        <v>0.92</v>
      </c>
      <c r="BB100" s="204"/>
      <c r="BC100" s="205"/>
      <c r="BD100" s="143" t="e">
        <f>ROUND(((($BT$6*$BW$5*(C94*0.001)*D100)/1000)/BB100), 2)</f>
        <v>#DIV/0!</v>
      </c>
      <c r="BE100" s="203" t="e">
        <f t="shared" si="136"/>
        <v>#DIV/0!</v>
      </c>
      <c r="BF100" s="243" t="e">
        <f t="shared" si="109"/>
        <v>#DIV/0!</v>
      </c>
      <c r="BG100" s="232"/>
      <c r="BH100" s="235"/>
      <c r="BI100" s="66"/>
      <c r="BJ100" s="66"/>
      <c r="BK100" s="206" t="e">
        <f>INDEX('WEG Motor'!$B$3:$AZ$55,
       MATCH(BI100,'WEG Motor'!$A$3:$A$55,0),
       MATCH(BJ100,'WEG Motor'!$B$2:$AZ$2,0))%</f>
        <v>#N/A</v>
      </c>
      <c r="BL100" s="206">
        <v>0.92</v>
      </c>
      <c r="BM100" s="206"/>
      <c r="BN100" s="207"/>
      <c r="BO100" s="144" t="e">
        <f>ROUND(((($BT$6*$BW$5*(C94*0.001)*D100)/1000)/BM100), 2)</f>
        <v>#DIV/0!</v>
      </c>
      <c r="BP100" s="292" t="e">
        <f t="shared" si="137"/>
        <v>#DIV/0!</v>
      </c>
      <c r="BQ100" s="293" t="e">
        <f t="shared" si="138"/>
        <v>#DIV/0!</v>
      </c>
      <c r="BR100" s="208"/>
    </row>
    <row r="101" spans="1:70" x14ac:dyDescent="0.3">
      <c r="A101" s="308">
        <v>14</v>
      </c>
      <c r="B101" s="308">
        <v>950</v>
      </c>
      <c r="C101" s="311">
        <f>ROUND((B101 * $BW$7 * 1000) / ($BT$6 * $BW$3 * $BW$4), 0)</f>
        <v>114</v>
      </c>
      <c r="D101" s="145">
        <v>15</v>
      </c>
      <c r="E101" s="173"/>
      <c r="F101" s="53"/>
      <c r="G101" s="53"/>
      <c r="H101" s="174" t="e">
        <f>INDEX('WEG Motor'!$B$3:$AZ$55,
       MATCH(F101,'WEG Motor'!$A$3:$A$55,0),
       MATCH(G101,'WEG Motor'!$B$2:$AZ$2,0))%</f>
        <v>#N/A</v>
      </c>
      <c r="I101" s="174">
        <v>0.92</v>
      </c>
      <c r="J101" s="282"/>
      <c r="K101" s="175"/>
      <c r="L101" s="285" t="e">
        <f t="shared" ref="L101" si="140">ROUND(((($BT$6*$BW$5*(C101*0.001)*D101)/1000)/J101), 2)</f>
        <v>#DIV/0!</v>
      </c>
      <c r="M101" s="53" t="e">
        <f>ROUND((L101/H101),2)</f>
        <v>#DIV/0!</v>
      </c>
      <c r="N101" s="236" t="e">
        <f t="shared" si="101"/>
        <v>#DIV/0!</v>
      </c>
      <c r="O101" s="176"/>
      <c r="P101" s="209" t="s">
        <v>149</v>
      </c>
      <c r="Q101" s="177">
        <v>22</v>
      </c>
      <c r="R101" s="177" t="s">
        <v>35</v>
      </c>
      <c r="S101" s="178">
        <f>INDEX('WEG Motor'!$B$3:$AZ$55,
       MATCH(Q101,'WEG Motor'!$A$3:$A$55,0),
       MATCH(R101,'WEG Motor'!$B$2:$AZ$2,0))%</f>
        <v>0.93099999999999994</v>
      </c>
      <c r="T101" s="178">
        <v>0.92</v>
      </c>
      <c r="U101" s="178">
        <v>0.85680000000000001</v>
      </c>
      <c r="V101" s="179">
        <v>3.4239999999999999</v>
      </c>
      <c r="W101" s="297">
        <f>ROUND(((($BT$6*$BW$5*(C101*0.001)*D101)/1000)/U101), 2)</f>
        <v>19.57</v>
      </c>
      <c r="X101" s="177">
        <f>ROUND((W101/S101),2)</f>
        <v>21.02</v>
      </c>
      <c r="Y101" s="276">
        <f t="shared" si="103"/>
        <v>22.85</v>
      </c>
      <c r="Z101" s="210"/>
      <c r="AA101" s="215"/>
      <c r="AB101" s="180"/>
      <c r="AC101" s="180"/>
      <c r="AD101" s="181" t="e">
        <f>INDEX('WEG Motor'!$B$3:$AZ$55,
       MATCH(AB101,'WEG Motor'!$A$3:$A$55,0),
       MATCH(AC101,'WEG Motor'!$B$2:$AZ$2,0))%</f>
        <v>#N/A</v>
      </c>
      <c r="AE101" s="181">
        <v>0.92</v>
      </c>
      <c r="AF101" s="181"/>
      <c r="AG101" s="182"/>
      <c r="AH101" s="296" t="e">
        <f>ROUND(((($BT$6*$BW$5*(C101*0.001)*D101)/1000)/AF101), 2)</f>
        <v>#DIV/0!</v>
      </c>
      <c r="AI101" s="180" t="e">
        <f>ROUND((AH101/AD101),2)</f>
        <v>#DIV/0!</v>
      </c>
      <c r="AJ101" s="277" t="e">
        <f t="shared" si="105"/>
        <v>#DIV/0!</v>
      </c>
      <c r="AK101" s="216"/>
      <c r="AL101" s="221"/>
      <c r="AM101" s="183"/>
      <c r="AN101" s="183"/>
      <c r="AO101" s="184" t="e">
        <f>INDEX('WEG Motor'!$B$3:$AZ$55,
       MATCH(AM101,'WEG Motor'!$A$3:$A$55,0),
       MATCH(AN101,'WEG Motor'!$B$2:$AZ$2,0))%</f>
        <v>#N/A</v>
      </c>
      <c r="AP101" s="184">
        <v>0.92</v>
      </c>
      <c r="AQ101" s="184"/>
      <c r="AR101" s="185"/>
      <c r="AS101" s="295" t="e">
        <f>ROUND(((($BT$6*$BW$5*(C101*0.001)*D101)/1000)/AQ101), 2)</f>
        <v>#DIV/0!</v>
      </c>
      <c r="AT101" s="183" t="e">
        <f>ROUND((AS101/AO101),2)</f>
        <v>#DIV/0!</v>
      </c>
      <c r="AU101" s="278" t="e">
        <f t="shared" si="107"/>
        <v>#DIV/0!</v>
      </c>
      <c r="AV101" s="222"/>
      <c r="AW101" s="227"/>
      <c r="AX101" s="186"/>
      <c r="AY101" s="186"/>
      <c r="AZ101" s="187" t="e">
        <f>INDEX('WEG Motor'!$B$3:$AZ$55,
       MATCH(AX101,'WEG Motor'!$A$3:$A$55,0),
       MATCH(AY101,'WEG Motor'!$B$2:$AZ$2,0))%</f>
        <v>#N/A</v>
      </c>
      <c r="BA101" s="187">
        <v>0.92</v>
      </c>
      <c r="BB101" s="187"/>
      <c r="BC101" s="188"/>
      <c r="BD101" s="294" t="e">
        <f>ROUND(((($BT$6*$BW$5*(C101*0.001)*D101)/1000)/BB101), 2)</f>
        <v>#DIV/0!</v>
      </c>
      <c r="BE101" s="186" t="e">
        <f>ROUND((BD101/AZ101),2)</f>
        <v>#DIV/0!</v>
      </c>
      <c r="BF101" s="279" t="e">
        <f t="shared" si="109"/>
        <v>#DIV/0!</v>
      </c>
      <c r="BG101" s="228"/>
      <c r="BH101" s="233"/>
      <c r="BI101" s="189"/>
      <c r="BJ101" s="189"/>
      <c r="BK101" s="190" t="e">
        <f>INDEX('WEG Motor'!$B$3:$AZ$55,
       MATCH(BI101,'WEG Motor'!$A$3:$A$55,0),
       MATCH(BJ101,'WEG Motor'!$B$2:$AZ$2,0))%</f>
        <v>#N/A</v>
      </c>
      <c r="BL101" s="190">
        <v>0.92</v>
      </c>
      <c r="BM101" s="190"/>
      <c r="BN101" s="191"/>
      <c r="BO101" s="289" t="e">
        <f>ROUND(((($BT$6*$BW$5*(C101*0.001)*D101)/1000)/BM101), 2)</f>
        <v>#DIV/0!</v>
      </c>
      <c r="BP101" s="290" t="e">
        <f>ROUND((BO101/BK101),2)</f>
        <v>#DIV/0!</v>
      </c>
      <c r="BQ101" s="291" t="e">
        <f>ROUND((BP101/BL101), 2)</f>
        <v>#DIV/0!</v>
      </c>
      <c r="BR101" s="192"/>
    </row>
    <row r="102" spans="1:70" x14ac:dyDescent="0.3">
      <c r="A102" s="309"/>
      <c r="B102" s="309"/>
      <c r="C102" s="312"/>
      <c r="D102" s="164">
        <v>20</v>
      </c>
      <c r="E102" s="166"/>
      <c r="F102" s="146"/>
      <c r="G102" s="146"/>
      <c r="H102" s="147" t="e">
        <f>INDEX('WEG Motor'!$B$3:$AZ$55,
       MATCH(F102,'WEG Motor'!$A$3:$A$55,0),
       MATCH(G102,'WEG Motor'!$B$2:$AZ$2,0))%</f>
        <v>#N/A</v>
      </c>
      <c r="I102" s="147">
        <v>0.92</v>
      </c>
      <c r="J102" s="283"/>
      <c r="K102" s="148"/>
      <c r="L102" s="286" t="e">
        <f>ROUND(((($BT$6*$BW$5*(C101*0.001)*D102)/1000)/J102), 2)</f>
        <v>#DIV/0!</v>
      </c>
      <c r="M102" s="146" t="e">
        <f t="shared" ref="M102:M107" si="141">ROUND((L102/H102),2)</f>
        <v>#DIV/0!</v>
      </c>
      <c r="N102" s="237" t="e">
        <f t="shared" si="101"/>
        <v>#DIV/0!</v>
      </c>
      <c r="O102" s="167"/>
      <c r="P102" s="211" t="s">
        <v>56</v>
      </c>
      <c r="Q102" s="23">
        <v>30</v>
      </c>
      <c r="R102" s="23" t="s">
        <v>35</v>
      </c>
      <c r="S102" s="149">
        <f>INDEX('WEG Motor'!$B$3:$AZ$55,
       MATCH(Q102,'WEG Motor'!$A$3:$A$55,0),
       MATCH(R102,'WEG Motor'!$B$2:$AZ$2,0))%</f>
        <v>0.93599999999999994</v>
      </c>
      <c r="T102" s="149">
        <v>0.92</v>
      </c>
      <c r="U102" s="149">
        <v>0.85880000000000001</v>
      </c>
      <c r="V102" s="150">
        <v>3.6509999999999998</v>
      </c>
      <c r="W102" s="151">
        <f>ROUND(((($BT$6*$BW$5*(C101*0.001)*D102)/1000)/U102), 2)</f>
        <v>26.04</v>
      </c>
      <c r="X102" s="23">
        <f t="shared" ref="X102:X107" si="142">ROUND((W102/S102),2)</f>
        <v>27.82</v>
      </c>
      <c r="Y102" s="238">
        <f t="shared" si="103"/>
        <v>30.24</v>
      </c>
      <c r="Z102" s="212"/>
      <c r="AA102" s="217"/>
      <c r="AB102" s="24"/>
      <c r="AC102" s="24"/>
      <c r="AD102" s="152" t="e">
        <f>INDEX('WEG Motor'!$B$3:$AZ$55,
       MATCH(AB102,'WEG Motor'!$A$3:$A$55,0),
       MATCH(AC102,'WEG Motor'!$B$2:$AZ$2,0))%</f>
        <v>#N/A</v>
      </c>
      <c r="AE102" s="152">
        <v>0.92</v>
      </c>
      <c r="AF102" s="152"/>
      <c r="AG102" s="153"/>
      <c r="AH102" s="154" t="e">
        <f>ROUND(((($BT$6*$BW$5*(C101*0.001)*D102)/1000)/AF102), 2)</f>
        <v>#DIV/0!</v>
      </c>
      <c r="AI102" s="24" t="e">
        <f t="shared" ref="AI102:AI107" si="143">ROUND((AH102/AD102),2)</f>
        <v>#DIV/0!</v>
      </c>
      <c r="AJ102" s="239" t="e">
        <f t="shared" si="105"/>
        <v>#DIV/0!</v>
      </c>
      <c r="AK102" s="218"/>
      <c r="AL102" s="223"/>
      <c r="AM102" s="25"/>
      <c r="AN102" s="25"/>
      <c r="AO102" s="155" t="e">
        <f>INDEX('WEG Motor'!$B$3:$AZ$55,
       MATCH(AM102,'WEG Motor'!$A$3:$A$55,0),
       MATCH(AN102,'WEG Motor'!$B$2:$AZ$2,0))%</f>
        <v>#N/A</v>
      </c>
      <c r="AP102" s="155">
        <v>0.92</v>
      </c>
      <c r="AQ102" s="155"/>
      <c r="AR102" s="156"/>
      <c r="AS102" s="157" t="e">
        <f>ROUND(((($BT$6*$BW$5*(C101*0.001)*D102)/1000)/AQ102), 2)</f>
        <v>#DIV/0!</v>
      </c>
      <c r="AT102" s="25" t="e">
        <f t="shared" ref="AT102:AT107" si="144">ROUND((AS102/AO102),2)</f>
        <v>#DIV/0!</v>
      </c>
      <c r="AU102" s="240" t="e">
        <f t="shared" si="107"/>
        <v>#DIV/0!</v>
      </c>
      <c r="AV102" s="224"/>
      <c r="AW102" s="229"/>
      <c r="AX102" s="12"/>
      <c r="AY102" s="12"/>
      <c r="AZ102" s="158" t="e">
        <f>INDEX('WEG Motor'!$B$3:$AZ$55,
       MATCH(AX102,'WEG Motor'!$A$3:$A$55,0),
       MATCH(AY102,'WEG Motor'!$B$2:$AZ$2,0))%</f>
        <v>#N/A</v>
      </c>
      <c r="BA102" s="158">
        <v>0.92</v>
      </c>
      <c r="BB102" s="158"/>
      <c r="BC102" s="159"/>
      <c r="BD102" s="160" t="e">
        <f>ROUND(((($BT$6*$BW$5*(C101*0.001)*D102)/1000)/BB102), 2)</f>
        <v>#DIV/0!</v>
      </c>
      <c r="BE102" s="12" t="e">
        <f t="shared" ref="BE102:BE107" si="145">ROUND((BD102/AZ102),2)</f>
        <v>#DIV/0!</v>
      </c>
      <c r="BF102" s="241" t="e">
        <f t="shared" si="109"/>
        <v>#DIV/0!</v>
      </c>
      <c r="BG102" s="230"/>
      <c r="BH102" s="234"/>
      <c r="BI102" s="22"/>
      <c r="BJ102" s="22"/>
      <c r="BK102" s="161" t="e">
        <f>INDEX('WEG Motor'!$B$3:$AZ$55,
       MATCH(BI102,'WEG Motor'!$A$3:$A$55,0),
       MATCH(BJ102,'WEG Motor'!$B$2:$AZ$2,0))%</f>
        <v>#N/A</v>
      </c>
      <c r="BL102" s="161">
        <v>0.92</v>
      </c>
      <c r="BM102" s="161"/>
      <c r="BN102" s="162"/>
      <c r="BO102" s="163" t="e">
        <f>ROUND(((($BT$6*$BW$5*(C101*0.001)*D102)/1000)/BM102), 2)</f>
        <v>#DIV/0!</v>
      </c>
      <c r="BP102" s="22" t="e">
        <f t="shared" ref="BP102:BP107" si="146">ROUND((BO102/BK102),2)</f>
        <v>#DIV/0!</v>
      </c>
      <c r="BQ102" s="242" t="e">
        <f t="shared" ref="BQ102:BQ107" si="147">ROUND((BP102/BL102), 2)</f>
        <v>#DIV/0!</v>
      </c>
      <c r="BR102" s="193"/>
    </row>
    <row r="103" spans="1:70" x14ac:dyDescent="0.3">
      <c r="A103" s="309"/>
      <c r="B103" s="309"/>
      <c r="C103" s="312"/>
      <c r="D103" s="164">
        <v>25</v>
      </c>
      <c r="E103" s="166"/>
      <c r="F103" s="146"/>
      <c r="G103" s="146"/>
      <c r="H103" s="147" t="e">
        <f>INDEX('WEG Motor'!$B$3:$AZ$55,
       MATCH(F103,'WEG Motor'!$A$3:$A$55,0),
       MATCH(G103,'WEG Motor'!$B$2:$AZ$2,0))%</f>
        <v>#N/A</v>
      </c>
      <c r="I103" s="147">
        <v>0.92</v>
      </c>
      <c r="J103" s="283"/>
      <c r="K103" s="148"/>
      <c r="L103" s="286" t="e">
        <f>ROUND(((($BT$6*$BW$5*(C101*0.001)*D103)/1000)/J103), 2)</f>
        <v>#DIV/0!</v>
      </c>
      <c r="M103" s="146" t="e">
        <f t="shared" si="141"/>
        <v>#DIV/0!</v>
      </c>
      <c r="N103" s="237" t="e">
        <f t="shared" si="101"/>
        <v>#DIV/0!</v>
      </c>
      <c r="O103" s="167"/>
      <c r="P103" s="211" t="s">
        <v>63</v>
      </c>
      <c r="Q103" s="23">
        <v>37</v>
      </c>
      <c r="R103" s="23" t="s">
        <v>35</v>
      </c>
      <c r="S103" s="149">
        <f>INDEX('WEG Motor'!$B$3:$AZ$55,
       MATCH(Q103,'WEG Motor'!$A$3:$A$55,0),
       MATCH(R103,'WEG Motor'!$B$2:$AZ$2,0))%</f>
        <v>0.93900000000000006</v>
      </c>
      <c r="T103" s="149">
        <v>0.92</v>
      </c>
      <c r="U103" s="149">
        <v>0.87509999999999999</v>
      </c>
      <c r="V103" s="150">
        <v>3.6509999999999998</v>
      </c>
      <c r="W103" s="151">
        <f>ROUND(((($BT$6*$BW$5*(C101*0.001)*D103)/1000)/U103), 2)</f>
        <v>31.94</v>
      </c>
      <c r="X103" s="23">
        <f t="shared" si="142"/>
        <v>34.01</v>
      </c>
      <c r="Y103" s="238">
        <f t="shared" si="103"/>
        <v>36.97</v>
      </c>
      <c r="Z103" s="212"/>
      <c r="AA103" s="217"/>
      <c r="AB103" s="24"/>
      <c r="AC103" s="24"/>
      <c r="AD103" s="152" t="e">
        <f>INDEX('WEG Motor'!$B$3:$AZ$55,
       MATCH(AB103,'WEG Motor'!$A$3:$A$55,0),
       MATCH(AC103,'WEG Motor'!$B$2:$AZ$2,0))%</f>
        <v>#N/A</v>
      </c>
      <c r="AE103" s="152">
        <v>0.92</v>
      </c>
      <c r="AF103" s="152"/>
      <c r="AG103" s="153"/>
      <c r="AH103" s="154" t="e">
        <f>ROUND(((($BT$6*$BW$5*(C101*0.001)*D103)/1000)/AF103), 2)</f>
        <v>#DIV/0!</v>
      </c>
      <c r="AI103" s="24" t="e">
        <f t="shared" si="143"/>
        <v>#DIV/0!</v>
      </c>
      <c r="AJ103" s="239" t="e">
        <f t="shared" si="105"/>
        <v>#DIV/0!</v>
      </c>
      <c r="AK103" s="218"/>
      <c r="AL103" s="223"/>
      <c r="AM103" s="25"/>
      <c r="AN103" s="25"/>
      <c r="AO103" s="155" t="e">
        <f>INDEX('WEG Motor'!$B$3:$AZ$55,
       MATCH(AM103,'WEG Motor'!$A$3:$A$55,0),
       MATCH(AN103,'WEG Motor'!$B$2:$AZ$2,0))%</f>
        <v>#N/A</v>
      </c>
      <c r="AP103" s="155">
        <v>0.92</v>
      </c>
      <c r="AQ103" s="155"/>
      <c r="AR103" s="156"/>
      <c r="AS103" s="157" t="e">
        <f>ROUND(((($BT$6*$BW$5*(C101*0.001)*D103)/1000)/AQ103), 2)</f>
        <v>#DIV/0!</v>
      </c>
      <c r="AT103" s="25" t="e">
        <f t="shared" si="144"/>
        <v>#DIV/0!</v>
      </c>
      <c r="AU103" s="240" t="e">
        <f t="shared" si="107"/>
        <v>#DIV/0!</v>
      </c>
      <c r="AV103" s="224"/>
      <c r="AW103" s="229"/>
      <c r="AX103" s="12"/>
      <c r="AY103" s="12"/>
      <c r="AZ103" s="158" t="e">
        <f>INDEX('WEG Motor'!$B$3:$AZ$55,
       MATCH(AX103,'WEG Motor'!$A$3:$A$55,0),
       MATCH(AY103,'WEG Motor'!$B$2:$AZ$2,0))%</f>
        <v>#N/A</v>
      </c>
      <c r="BA103" s="158">
        <v>0.92</v>
      </c>
      <c r="BB103" s="158"/>
      <c r="BC103" s="159"/>
      <c r="BD103" s="160" t="e">
        <f>ROUND(((($BT$6*$BW$5*(C101*0.001)*D103)/1000)/BB103), 2)</f>
        <v>#DIV/0!</v>
      </c>
      <c r="BE103" s="12" t="e">
        <f t="shared" si="145"/>
        <v>#DIV/0!</v>
      </c>
      <c r="BF103" s="241" t="e">
        <f t="shared" si="109"/>
        <v>#DIV/0!</v>
      </c>
      <c r="BG103" s="230"/>
      <c r="BH103" s="234"/>
      <c r="BI103" s="22"/>
      <c r="BJ103" s="22"/>
      <c r="BK103" s="161" t="e">
        <f>INDEX('WEG Motor'!$B$3:$AZ$55,
       MATCH(BI103,'WEG Motor'!$A$3:$A$55,0),
       MATCH(BJ103,'WEG Motor'!$B$2:$AZ$2,0))%</f>
        <v>#N/A</v>
      </c>
      <c r="BL103" s="161">
        <v>0.92</v>
      </c>
      <c r="BM103" s="161"/>
      <c r="BN103" s="162"/>
      <c r="BO103" s="163" t="e">
        <f>ROUND(((($BT$6*$BW$5*(C101*0.001)*D103)/1000)/BM103), 2)</f>
        <v>#DIV/0!</v>
      </c>
      <c r="BP103" s="22" t="e">
        <f t="shared" si="146"/>
        <v>#DIV/0!</v>
      </c>
      <c r="BQ103" s="242" t="e">
        <f t="shared" si="147"/>
        <v>#DIV/0!</v>
      </c>
      <c r="BR103" s="193"/>
    </row>
    <row r="104" spans="1:70" x14ac:dyDescent="0.3">
      <c r="A104" s="309"/>
      <c r="B104" s="309"/>
      <c r="C104" s="312"/>
      <c r="D104" s="164">
        <v>30</v>
      </c>
      <c r="E104" s="166"/>
      <c r="F104" s="146"/>
      <c r="G104" s="146"/>
      <c r="H104" s="147" t="e">
        <f>INDEX('WEG Motor'!$B$3:$AZ$55,
       MATCH(F104,'WEG Motor'!$A$3:$A$55,0),
       MATCH(G104,'WEG Motor'!$B$2:$AZ$2,0))%</f>
        <v>#N/A</v>
      </c>
      <c r="I104" s="147">
        <v>0.92</v>
      </c>
      <c r="J104" s="283"/>
      <c r="K104" s="148"/>
      <c r="L104" s="286" t="e">
        <f>ROUND(((($BT$6*$BW$5*(C101*0.001)*D104)/1000)/J104), 2)</f>
        <v>#DIV/0!</v>
      </c>
      <c r="M104" s="146" t="e">
        <f t="shared" si="141"/>
        <v>#DIV/0!</v>
      </c>
      <c r="N104" s="237" t="e">
        <f t="shared" si="101"/>
        <v>#DIV/0!</v>
      </c>
      <c r="O104" s="167"/>
      <c r="P104" s="211" t="s">
        <v>64</v>
      </c>
      <c r="Q104" s="23">
        <v>45</v>
      </c>
      <c r="R104" s="23" t="s">
        <v>35</v>
      </c>
      <c r="S104" s="149">
        <f>INDEX('WEG Motor'!$B$3:$AZ$55,
       MATCH(Q104,'WEG Motor'!$A$3:$A$55,0),
       MATCH(R104,'WEG Motor'!$B$2:$AZ$2,0))%</f>
        <v>0.94200000000000006</v>
      </c>
      <c r="T104" s="149">
        <v>0.92</v>
      </c>
      <c r="U104" s="149">
        <v>0.878</v>
      </c>
      <c r="V104" s="150">
        <v>3.6509999999999998</v>
      </c>
      <c r="W104" s="151">
        <f>ROUND(((($BT$6*$BW$5*(C101*0.001)*D104)/1000)/U104), 2)</f>
        <v>38.200000000000003</v>
      </c>
      <c r="X104" s="23">
        <f t="shared" si="142"/>
        <v>40.549999999999997</v>
      </c>
      <c r="Y104" s="238">
        <f t="shared" si="103"/>
        <v>44.08</v>
      </c>
      <c r="Z104" s="212"/>
      <c r="AA104" s="217"/>
      <c r="AB104" s="24"/>
      <c r="AC104" s="24"/>
      <c r="AD104" s="152" t="e">
        <f>INDEX('WEG Motor'!$B$3:$AZ$55,
       MATCH(AB104,'WEG Motor'!$A$3:$A$55,0),
       MATCH(AC104,'WEG Motor'!$B$2:$AZ$2,0))%</f>
        <v>#N/A</v>
      </c>
      <c r="AE104" s="152">
        <v>0.92</v>
      </c>
      <c r="AF104" s="152"/>
      <c r="AG104" s="153"/>
      <c r="AH104" s="154" t="e">
        <f>ROUND(((($BT$6*$BW$5*(C101*0.001)*D104)/1000)/AF104), 2)</f>
        <v>#DIV/0!</v>
      </c>
      <c r="AI104" s="24" t="e">
        <f t="shared" si="143"/>
        <v>#DIV/0!</v>
      </c>
      <c r="AJ104" s="239" t="e">
        <f t="shared" si="105"/>
        <v>#DIV/0!</v>
      </c>
      <c r="AK104" s="218"/>
      <c r="AL104" s="223"/>
      <c r="AM104" s="25"/>
      <c r="AN104" s="25"/>
      <c r="AO104" s="155" t="e">
        <f>INDEX('WEG Motor'!$B$3:$AZ$55,
       MATCH(AM104,'WEG Motor'!$A$3:$A$55,0),
       MATCH(AN104,'WEG Motor'!$B$2:$AZ$2,0))%</f>
        <v>#N/A</v>
      </c>
      <c r="AP104" s="155">
        <v>0.92</v>
      </c>
      <c r="AQ104" s="155"/>
      <c r="AR104" s="156"/>
      <c r="AS104" s="157" t="e">
        <f>ROUND(((($BT$6*$BW$5*(C101*0.001)*D104)/1000)/AQ104), 2)</f>
        <v>#DIV/0!</v>
      </c>
      <c r="AT104" s="25" t="e">
        <f t="shared" si="144"/>
        <v>#DIV/0!</v>
      </c>
      <c r="AU104" s="240" t="e">
        <f t="shared" si="107"/>
        <v>#DIV/0!</v>
      </c>
      <c r="AV104" s="224"/>
      <c r="AW104" s="229"/>
      <c r="AX104" s="12"/>
      <c r="AY104" s="12"/>
      <c r="AZ104" s="158" t="e">
        <f>INDEX('WEG Motor'!$B$3:$AZ$55,
       MATCH(AX104,'WEG Motor'!$A$3:$A$55,0),
       MATCH(AY104,'WEG Motor'!$B$2:$AZ$2,0))%</f>
        <v>#N/A</v>
      </c>
      <c r="BA104" s="158">
        <v>0.92</v>
      </c>
      <c r="BB104" s="158"/>
      <c r="BC104" s="159"/>
      <c r="BD104" s="160" t="e">
        <f>ROUND(((($BT$6*$BW$5*(C101*0.001)*D104)/1000)/BB104), 2)</f>
        <v>#DIV/0!</v>
      </c>
      <c r="BE104" s="12" t="e">
        <f t="shared" si="145"/>
        <v>#DIV/0!</v>
      </c>
      <c r="BF104" s="241" t="e">
        <f t="shared" si="109"/>
        <v>#DIV/0!</v>
      </c>
      <c r="BG104" s="230"/>
      <c r="BH104" s="234"/>
      <c r="BI104" s="22"/>
      <c r="BJ104" s="22"/>
      <c r="BK104" s="161" t="e">
        <f>INDEX('WEG Motor'!$B$3:$AZ$55,
       MATCH(BI104,'WEG Motor'!$A$3:$A$55,0),
       MATCH(BJ104,'WEG Motor'!$B$2:$AZ$2,0))%</f>
        <v>#N/A</v>
      </c>
      <c r="BL104" s="161">
        <v>0.92</v>
      </c>
      <c r="BM104" s="161"/>
      <c r="BN104" s="162"/>
      <c r="BO104" s="163" t="e">
        <f>ROUND(((($BT$6*$BW$5*(C101*0.001)*D104)/1000)/BM104), 2)</f>
        <v>#DIV/0!</v>
      </c>
      <c r="BP104" s="22" t="e">
        <f t="shared" si="146"/>
        <v>#DIV/0!</v>
      </c>
      <c r="BQ104" s="242" t="e">
        <f t="shared" si="147"/>
        <v>#DIV/0!</v>
      </c>
      <c r="BR104" s="193"/>
    </row>
    <row r="105" spans="1:70" x14ac:dyDescent="0.3">
      <c r="A105" s="309"/>
      <c r="B105" s="309"/>
      <c r="C105" s="312"/>
      <c r="D105" s="164">
        <v>35</v>
      </c>
      <c r="E105" s="166"/>
      <c r="F105" s="146"/>
      <c r="G105" s="146"/>
      <c r="H105" s="147" t="e">
        <f>INDEX('WEG Motor'!$B$3:$AZ$55,
       MATCH(F105,'WEG Motor'!$A$3:$A$55,0),
       MATCH(G105,'WEG Motor'!$B$2:$AZ$2,0))%</f>
        <v>#N/A</v>
      </c>
      <c r="I105" s="147">
        <v>0.92</v>
      </c>
      <c r="J105" s="283"/>
      <c r="K105" s="148"/>
      <c r="L105" s="286" t="e">
        <f t="shared" ref="L105" si="148">ROUND(((($BT$6*$BW$5*(C105*0.001)*D105)/1000)/J105), 2)</f>
        <v>#DIV/0!</v>
      </c>
      <c r="M105" s="146" t="e">
        <f t="shared" si="141"/>
        <v>#DIV/0!</v>
      </c>
      <c r="N105" s="237" t="e">
        <f t="shared" si="101"/>
        <v>#DIV/0!</v>
      </c>
      <c r="O105" s="167"/>
      <c r="P105" s="211" t="s">
        <v>146</v>
      </c>
      <c r="Q105" s="23">
        <v>55</v>
      </c>
      <c r="R105" s="23" t="s">
        <v>35</v>
      </c>
      <c r="S105" s="149">
        <f>INDEX('WEG Motor'!$B$3:$AZ$55,
       MATCH(Q105,'WEG Motor'!$A$3:$A$55,0),
       MATCH(R105,'WEG Motor'!$B$2:$AZ$2,0))%</f>
        <v>0.94599999999999995</v>
      </c>
      <c r="T105" s="149">
        <v>0.92</v>
      </c>
      <c r="U105" s="149">
        <v>0.83789999999999998</v>
      </c>
      <c r="V105" s="150">
        <v>2.673</v>
      </c>
      <c r="W105" s="151">
        <f>ROUND(((($BT$6*$BW$5*(C101*0.001)*D105)/1000)/U105), 2)</f>
        <v>46.7</v>
      </c>
      <c r="X105" s="23">
        <f t="shared" si="142"/>
        <v>49.37</v>
      </c>
      <c r="Y105" s="238">
        <f t="shared" si="103"/>
        <v>53.66</v>
      </c>
      <c r="Z105" s="212"/>
      <c r="AA105" s="217"/>
      <c r="AB105" s="24"/>
      <c r="AC105" s="24"/>
      <c r="AD105" s="152" t="e">
        <f>INDEX('WEG Motor'!$B$3:$AZ$55,
       MATCH(AB105,'WEG Motor'!$A$3:$A$55,0),
       MATCH(AC105,'WEG Motor'!$B$2:$AZ$2,0))%</f>
        <v>#N/A</v>
      </c>
      <c r="AE105" s="152">
        <v>0.92</v>
      </c>
      <c r="AF105" s="152"/>
      <c r="AG105" s="153"/>
      <c r="AH105" s="154" t="e">
        <f>ROUND(((($BT$6*$BW$5*(C101*0.001)*D105)/1000)/AF105), 2)</f>
        <v>#DIV/0!</v>
      </c>
      <c r="AI105" s="24" t="e">
        <f t="shared" si="143"/>
        <v>#DIV/0!</v>
      </c>
      <c r="AJ105" s="239" t="e">
        <f t="shared" si="105"/>
        <v>#DIV/0!</v>
      </c>
      <c r="AK105" s="218"/>
      <c r="AL105" s="223"/>
      <c r="AM105" s="25"/>
      <c r="AN105" s="25"/>
      <c r="AO105" s="155" t="e">
        <f>INDEX('WEG Motor'!$B$3:$AZ$55,
       MATCH(AM105,'WEG Motor'!$A$3:$A$55,0),
       MATCH(AN105,'WEG Motor'!$B$2:$AZ$2,0))%</f>
        <v>#N/A</v>
      </c>
      <c r="AP105" s="155">
        <v>0.92</v>
      </c>
      <c r="AQ105" s="155"/>
      <c r="AR105" s="156"/>
      <c r="AS105" s="157" t="e">
        <f>ROUND(((($BT$6*$BW$5*(C101*0.001)*D105)/1000)/AQ105), 2)</f>
        <v>#DIV/0!</v>
      </c>
      <c r="AT105" s="25" t="e">
        <f t="shared" si="144"/>
        <v>#DIV/0!</v>
      </c>
      <c r="AU105" s="240" t="e">
        <f t="shared" si="107"/>
        <v>#DIV/0!</v>
      </c>
      <c r="AV105" s="224"/>
      <c r="AW105" s="229"/>
      <c r="AX105" s="12"/>
      <c r="AY105" s="12"/>
      <c r="AZ105" s="158" t="e">
        <f>INDEX('WEG Motor'!$B$3:$AZ$55,
       MATCH(AX105,'WEG Motor'!$A$3:$A$55,0),
       MATCH(AY105,'WEG Motor'!$B$2:$AZ$2,0))%</f>
        <v>#N/A</v>
      </c>
      <c r="BA105" s="158">
        <v>0.92</v>
      </c>
      <c r="BB105" s="158"/>
      <c r="BC105" s="159"/>
      <c r="BD105" s="160" t="e">
        <f>ROUND(((($BT$6*$BW$5*(C101*0.001)*D105)/1000)/BB105), 2)</f>
        <v>#DIV/0!</v>
      </c>
      <c r="BE105" s="12" t="e">
        <f t="shared" si="145"/>
        <v>#DIV/0!</v>
      </c>
      <c r="BF105" s="241" t="e">
        <f t="shared" si="109"/>
        <v>#DIV/0!</v>
      </c>
      <c r="BG105" s="230"/>
      <c r="BH105" s="234"/>
      <c r="BI105" s="22"/>
      <c r="BJ105" s="22"/>
      <c r="BK105" s="161" t="e">
        <f>INDEX('WEG Motor'!$B$3:$AZ$55,
       MATCH(BI105,'WEG Motor'!$A$3:$A$55,0),
       MATCH(BJ105,'WEG Motor'!$B$2:$AZ$2,0))%</f>
        <v>#N/A</v>
      </c>
      <c r="BL105" s="161">
        <v>0.92</v>
      </c>
      <c r="BM105" s="161"/>
      <c r="BN105" s="162"/>
      <c r="BO105" s="163" t="e">
        <f>ROUND(((($BT$6*$BW$5*(C101*0.001)*D105)/1000)/BM105), 2)</f>
        <v>#DIV/0!</v>
      </c>
      <c r="BP105" s="22" t="e">
        <f t="shared" si="146"/>
        <v>#DIV/0!</v>
      </c>
      <c r="BQ105" s="242" t="e">
        <f t="shared" si="147"/>
        <v>#DIV/0!</v>
      </c>
      <c r="BR105" s="193"/>
    </row>
    <row r="106" spans="1:70" x14ac:dyDescent="0.3">
      <c r="A106" s="309"/>
      <c r="B106" s="309"/>
      <c r="C106" s="312"/>
      <c r="D106" s="164">
        <v>40</v>
      </c>
      <c r="E106" s="166"/>
      <c r="F106" s="146"/>
      <c r="G106" s="146"/>
      <c r="H106" s="147" t="e">
        <f>INDEX('WEG Motor'!$B$3:$AZ$55,
       MATCH(F106,'WEG Motor'!$A$3:$A$55,0),
       MATCH(G106,'WEG Motor'!$B$2:$AZ$2,0))%</f>
        <v>#N/A</v>
      </c>
      <c r="I106" s="147">
        <v>0.92</v>
      </c>
      <c r="J106" s="283"/>
      <c r="K106" s="148"/>
      <c r="L106" s="286" t="e">
        <f>ROUND(((($BT$6*$BW$5*(C101*0.001)*D106)/1000)/J106), 2)</f>
        <v>#DIV/0!</v>
      </c>
      <c r="M106" s="146" t="e">
        <f t="shared" si="141"/>
        <v>#DIV/0!</v>
      </c>
      <c r="N106" s="237" t="e">
        <f t="shared" si="101"/>
        <v>#DIV/0!</v>
      </c>
      <c r="O106" s="167"/>
      <c r="P106" s="211" t="s">
        <v>148</v>
      </c>
      <c r="Q106" s="23">
        <v>75</v>
      </c>
      <c r="R106" s="23" t="s">
        <v>35</v>
      </c>
      <c r="S106" s="149">
        <f>INDEX('WEG Motor'!$B$3:$AZ$55,
       MATCH(Q106,'WEG Motor'!$A$3:$A$55,0),
       MATCH(R106,'WEG Motor'!$B$2:$AZ$2,0))%</f>
        <v>0.95</v>
      </c>
      <c r="T106" s="149">
        <v>0.92</v>
      </c>
      <c r="U106" s="149">
        <v>0.84589999999999999</v>
      </c>
      <c r="V106" s="150">
        <v>2.673</v>
      </c>
      <c r="W106" s="151">
        <f>ROUND(((($BT$6*$BW$5*(C101*0.001)*D106)/1000)/U106), 2)</f>
        <v>52.87</v>
      </c>
      <c r="X106" s="23">
        <f t="shared" si="142"/>
        <v>55.65</v>
      </c>
      <c r="Y106" s="238">
        <f t="shared" si="103"/>
        <v>60.49</v>
      </c>
      <c r="Z106" s="212"/>
      <c r="AA106" s="217"/>
      <c r="AB106" s="24"/>
      <c r="AC106" s="24"/>
      <c r="AD106" s="152" t="e">
        <f>INDEX('WEG Motor'!$B$3:$AZ$55,
       MATCH(AB106,'WEG Motor'!$A$3:$A$55,0),
       MATCH(AC106,'WEG Motor'!$B$2:$AZ$2,0))%</f>
        <v>#N/A</v>
      </c>
      <c r="AE106" s="152">
        <v>0.92</v>
      </c>
      <c r="AF106" s="152"/>
      <c r="AG106" s="153"/>
      <c r="AH106" s="154" t="e">
        <f>ROUND(((($BT$6*$BW$5*(C101*0.001)*D106)/1000)/AF106), 2)</f>
        <v>#DIV/0!</v>
      </c>
      <c r="AI106" s="24" t="e">
        <f t="shared" si="143"/>
        <v>#DIV/0!</v>
      </c>
      <c r="AJ106" s="239" t="e">
        <f t="shared" si="105"/>
        <v>#DIV/0!</v>
      </c>
      <c r="AK106" s="218"/>
      <c r="AL106" s="223"/>
      <c r="AM106" s="25"/>
      <c r="AN106" s="25"/>
      <c r="AO106" s="155" t="e">
        <f>INDEX('WEG Motor'!$B$3:$AZ$55,
       MATCH(AM106,'WEG Motor'!$A$3:$A$55,0),
       MATCH(AN106,'WEG Motor'!$B$2:$AZ$2,0))%</f>
        <v>#N/A</v>
      </c>
      <c r="AP106" s="155">
        <v>0.92</v>
      </c>
      <c r="AQ106" s="155"/>
      <c r="AR106" s="156"/>
      <c r="AS106" s="157" t="e">
        <f>ROUND(((($BT$6*$BW$5*(C101*0.001)*D106)/1000)/AQ106), 2)</f>
        <v>#DIV/0!</v>
      </c>
      <c r="AT106" s="25" t="e">
        <f t="shared" si="144"/>
        <v>#DIV/0!</v>
      </c>
      <c r="AU106" s="240" t="e">
        <f t="shared" si="107"/>
        <v>#DIV/0!</v>
      </c>
      <c r="AV106" s="224"/>
      <c r="AW106" s="229"/>
      <c r="AX106" s="12"/>
      <c r="AY106" s="12"/>
      <c r="AZ106" s="158" t="e">
        <f>INDEX('WEG Motor'!$B$3:$AZ$55,
       MATCH(AX106,'WEG Motor'!$A$3:$A$55,0),
       MATCH(AY106,'WEG Motor'!$B$2:$AZ$2,0))%</f>
        <v>#N/A</v>
      </c>
      <c r="BA106" s="158">
        <v>0.92</v>
      </c>
      <c r="BB106" s="158"/>
      <c r="BC106" s="159"/>
      <c r="BD106" s="160" t="e">
        <f>ROUND(((($BT$6*$BW$5*(C101*0.001)*D106)/1000)/BB106), 2)</f>
        <v>#DIV/0!</v>
      </c>
      <c r="BE106" s="12" t="e">
        <f t="shared" si="145"/>
        <v>#DIV/0!</v>
      </c>
      <c r="BF106" s="241" t="e">
        <f t="shared" si="109"/>
        <v>#DIV/0!</v>
      </c>
      <c r="BG106" s="230"/>
      <c r="BH106" s="234"/>
      <c r="BI106" s="22"/>
      <c r="BJ106" s="22"/>
      <c r="BK106" s="161" t="e">
        <f>INDEX('WEG Motor'!$B$3:$AZ$55,
       MATCH(BI106,'WEG Motor'!$A$3:$A$55,0),
       MATCH(BJ106,'WEG Motor'!$B$2:$AZ$2,0))%</f>
        <v>#N/A</v>
      </c>
      <c r="BL106" s="161">
        <v>0.92</v>
      </c>
      <c r="BM106" s="161"/>
      <c r="BN106" s="162"/>
      <c r="BO106" s="163" t="e">
        <f>ROUND(((($BT$6*$BW$5*(C101*0.001)*D106)/1000)/BM106), 2)</f>
        <v>#DIV/0!</v>
      </c>
      <c r="BP106" s="22" t="e">
        <f t="shared" si="146"/>
        <v>#DIV/0!</v>
      </c>
      <c r="BQ106" s="242" t="e">
        <f t="shared" si="147"/>
        <v>#DIV/0!</v>
      </c>
      <c r="BR106" s="193"/>
    </row>
    <row r="107" spans="1:70" ht="15" thickBot="1" x14ac:dyDescent="0.35">
      <c r="A107" s="310"/>
      <c r="B107" s="310"/>
      <c r="C107" s="313"/>
      <c r="D107" s="165">
        <v>45</v>
      </c>
      <c r="E107" s="168"/>
      <c r="F107" s="169"/>
      <c r="G107" s="169"/>
      <c r="H107" s="170" t="e">
        <f>INDEX('WEG Motor'!$B$3:$AZ$55,
       MATCH(F107,'WEG Motor'!$A$3:$A$55,0),
       MATCH(G107,'WEG Motor'!$B$2:$AZ$2,0))%</f>
        <v>#N/A</v>
      </c>
      <c r="I107" s="170">
        <v>0.92</v>
      </c>
      <c r="J107" s="284"/>
      <c r="K107" s="171"/>
      <c r="L107" s="287" t="e">
        <f>ROUND(((($BT$6*$BW$5*(C101*0.001)*D107)/1000)/J107), 2)</f>
        <v>#DIV/0!</v>
      </c>
      <c r="M107" s="169" t="e">
        <f t="shared" si="141"/>
        <v>#DIV/0!</v>
      </c>
      <c r="N107" s="247" t="e">
        <f t="shared" si="101"/>
        <v>#DIV/0!</v>
      </c>
      <c r="O107" s="172"/>
      <c r="P107" s="213" t="s">
        <v>148</v>
      </c>
      <c r="Q107" s="194">
        <v>75</v>
      </c>
      <c r="R107" s="194" t="s">
        <v>35</v>
      </c>
      <c r="S107" s="195">
        <f>INDEX('WEG Motor'!$B$3:$AZ$55,
       MATCH(Q107,'WEG Motor'!$A$3:$A$55,0),
       MATCH(R107,'WEG Motor'!$B$2:$AZ$2,0))%</f>
        <v>0.95</v>
      </c>
      <c r="T107" s="195">
        <v>0.92</v>
      </c>
      <c r="U107" s="195">
        <v>0.84819999999999995</v>
      </c>
      <c r="V107" s="196">
        <v>2.673</v>
      </c>
      <c r="W107" s="140">
        <f>ROUND(((($BT$6*$BW$5*(C101*0.001)*D107)/1000)/U107), 2)</f>
        <v>59.32</v>
      </c>
      <c r="X107" s="194">
        <f t="shared" si="142"/>
        <v>62.44</v>
      </c>
      <c r="Y107" s="246">
        <f t="shared" si="103"/>
        <v>67.87</v>
      </c>
      <c r="Z107" s="214"/>
      <c r="AA107" s="219"/>
      <c r="AB107" s="197"/>
      <c r="AC107" s="197"/>
      <c r="AD107" s="198" t="e">
        <f>INDEX('WEG Motor'!$B$3:$AZ$55,
       MATCH(AB107,'WEG Motor'!$A$3:$A$55,0),
       MATCH(AC107,'WEG Motor'!$B$2:$AZ$2,0))%</f>
        <v>#N/A</v>
      </c>
      <c r="AE107" s="198">
        <v>0.92</v>
      </c>
      <c r="AF107" s="198"/>
      <c r="AG107" s="199"/>
      <c r="AH107" s="141" t="e">
        <f>ROUND(((($BT$6*$BW$5*(C101*0.001)*D107)/1000)/AF107), 2)</f>
        <v>#DIV/0!</v>
      </c>
      <c r="AI107" s="197" t="e">
        <f t="shared" si="143"/>
        <v>#DIV/0!</v>
      </c>
      <c r="AJ107" s="245" t="e">
        <f t="shared" si="105"/>
        <v>#DIV/0!</v>
      </c>
      <c r="AK107" s="220"/>
      <c r="AL107" s="225"/>
      <c r="AM107" s="200"/>
      <c r="AN107" s="200"/>
      <c r="AO107" s="201" t="e">
        <f>INDEX('WEG Motor'!$B$3:$AZ$55,
       MATCH(AM107,'WEG Motor'!$A$3:$A$55,0),
       MATCH(AN107,'WEG Motor'!$B$2:$AZ$2,0))%</f>
        <v>#N/A</v>
      </c>
      <c r="AP107" s="201">
        <v>0.92</v>
      </c>
      <c r="AQ107" s="201"/>
      <c r="AR107" s="202"/>
      <c r="AS107" s="142" t="e">
        <f>ROUND(((($BT$6*$BW$5*(C101*0.001)*D107)/1000)/AQ107), 2)</f>
        <v>#DIV/0!</v>
      </c>
      <c r="AT107" s="200" t="e">
        <f t="shared" si="144"/>
        <v>#DIV/0!</v>
      </c>
      <c r="AU107" s="244" t="e">
        <f t="shared" si="107"/>
        <v>#DIV/0!</v>
      </c>
      <c r="AV107" s="226"/>
      <c r="AW107" s="231"/>
      <c r="AX107" s="203"/>
      <c r="AY107" s="203"/>
      <c r="AZ107" s="204" t="e">
        <f>INDEX('WEG Motor'!$B$3:$AZ$55,
       MATCH(AX107,'WEG Motor'!$A$3:$A$55,0),
       MATCH(AY107,'WEG Motor'!$B$2:$AZ$2,0))%</f>
        <v>#N/A</v>
      </c>
      <c r="BA107" s="204">
        <v>0.92</v>
      </c>
      <c r="BB107" s="204"/>
      <c r="BC107" s="205"/>
      <c r="BD107" s="143" t="e">
        <f>ROUND(((($BT$6*$BW$5*(C101*0.001)*D107)/1000)/BB107), 2)</f>
        <v>#DIV/0!</v>
      </c>
      <c r="BE107" s="203" t="e">
        <f t="shared" si="145"/>
        <v>#DIV/0!</v>
      </c>
      <c r="BF107" s="243" t="e">
        <f t="shared" si="109"/>
        <v>#DIV/0!</v>
      </c>
      <c r="BG107" s="232"/>
      <c r="BH107" s="235"/>
      <c r="BI107" s="66"/>
      <c r="BJ107" s="66"/>
      <c r="BK107" s="206" t="e">
        <f>INDEX('WEG Motor'!$B$3:$AZ$55,
       MATCH(BI107,'WEG Motor'!$A$3:$A$55,0),
       MATCH(BJ107,'WEG Motor'!$B$2:$AZ$2,0))%</f>
        <v>#N/A</v>
      </c>
      <c r="BL107" s="206">
        <v>0.92</v>
      </c>
      <c r="BM107" s="206"/>
      <c r="BN107" s="207"/>
      <c r="BO107" s="144" t="e">
        <f>ROUND(((($BT$6*$BW$5*(C101*0.001)*D107)/1000)/BM107), 2)</f>
        <v>#DIV/0!</v>
      </c>
      <c r="BP107" s="292" t="e">
        <f t="shared" si="146"/>
        <v>#DIV/0!</v>
      </c>
      <c r="BQ107" s="293" t="e">
        <f t="shared" si="147"/>
        <v>#DIV/0!</v>
      </c>
      <c r="BR107" s="208"/>
    </row>
    <row r="108" spans="1:70" x14ac:dyDescent="0.3">
      <c r="A108" s="308">
        <v>15</v>
      </c>
      <c r="B108" s="308">
        <v>1000</v>
      </c>
      <c r="C108" s="311">
        <f>ROUND((B108 * $BW$7 * 1000) / ($BT$6 * $BW$3 * $BW$4), 0)</f>
        <v>120</v>
      </c>
      <c r="D108" s="145">
        <v>15</v>
      </c>
      <c r="E108" s="173"/>
      <c r="F108" s="53"/>
      <c r="G108" s="53"/>
      <c r="H108" s="174" t="e">
        <f>INDEX('WEG Motor'!$B$3:$AZ$55,
       MATCH(F108,'WEG Motor'!$A$3:$A$55,0),
       MATCH(G108,'WEG Motor'!$B$2:$AZ$2,0))%</f>
        <v>#N/A</v>
      </c>
      <c r="I108" s="174">
        <v>0.92</v>
      </c>
      <c r="J108" s="282"/>
      <c r="K108" s="175"/>
      <c r="L108" s="285" t="e">
        <f t="shared" ref="L108" si="149">ROUND(((($BT$6*$BW$5*(C108*0.001)*D108)/1000)/J108), 2)</f>
        <v>#DIV/0!</v>
      </c>
      <c r="M108" s="53" t="e">
        <f>ROUND((L108/H108),2)</f>
        <v>#DIV/0!</v>
      </c>
      <c r="N108" s="236" t="e">
        <f t="shared" si="101"/>
        <v>#DIV/0!</v>
      </c>
      <c r="O108" s="176"/>
      <c r="P108" s="209" t="s">
        <v>149</v>
      </c>
      <c r="Q108" s="177">
        <v>22</v>
      </c>
      <c r="R108" s="177" t="s">
        <v>35</v>
      </c>
      <c r="S108" s="178">
        <f>INDEX('WEG Motor'!$B$3:$AZ$55,
       MATCH(Q108,'WEG Motor'!$A$3:$A$55,0),
       MATCH(R108,'WEG Motor'!$B$2:$AZ$2,0))%</f>
        <v>0.93099999999999994</v>
      </c>
      <c r="T108" s="178">
        <v>0.92</v>
      </c>
      <c r="U108" s="178">
        <v>0.85370000000000001</v>
      </c>
      <c r="V108" s="179">
        <v>3.33</v>
      </c>
      <c r="W108" s="297">
        <f>ROUND(((($BT$6*$BW$5*(C108*0.001)*D108)/1000)/U108), 2)</f>
        <v>20.68</v>
      </c>
      <c r="X108" s="177">
        <f>ROUND((W108/S108),2)</f>
        <v>22.21</v>
      </c>
      <c r="Y108" s="276">
        <f t="shared" si="103"/>
        <v>24.14</v>
      </c>
      <c r="Z108" s="210"/>
      <c r="AA108" s="215"/>
      <c r="AB108" s="180"/>
      <c r="AC108" s="180"/>
      <c r="AD108" s="181" t="e">
        <f>INDEX('WEG Motor'!$B$3:$AZ$55,
       MATCH(AB108,'WEG Motor'!$A$3:$A$55,0),
       MATCH(AC108,'WEG Motor'!$B$2:$AZ$2,0))%</f>
        <v>#N/A</v>
      </c>
      <c r="AE108" s="181">
        <v>0.92</v>
      </c>
      <c r="AF108" s="181"/>
      <c r="AG108" s="182"/>
      <c r="AH108" s="296" t="e">
        <f>ROUND(((($BT$6*$BW$5*(C108*0.001)*D108)/1000)/AF108), 2)</f>
        <v>#DIV/0!</v>
      </c>
      <c r="AI108" s="180" t="e">
        <f>ROUND((AH108/AD108),2)</f>
        <v>#DIV/0!</v>
      </c>
      <c r="AJ108" s="277" t="e">
        <f t="shared" si="105"/>
        <v>#DIV/0!</v>
      </c>
      <c r="AK108" s="216"/>
      <c r="AL108" s="221"/>
      <c r="AM108" s="183"/>
      <c r="AN108" s="183"/>
      <c r="AO108" s="184" t="e">
        <f>INDEX('WEG Motor'!$B$3:$AZ$55,
       MATCH(AM108,'WEG Motor'!$A$3:$A$55,0),
       MATCH(AN108,'WEG Motor'!$B$2:$AZ$2,0))%</f>
        <v>#N/A</v>
      </c>
      <c r="AP108" s="184">
        <v>0.92</v>
      </c>
      <c r="AQ108" s="184"/>
      <c r="AR108" s="185"/>
      <c r="AS108" s="295" t="e">
        <f>ROUND(((($BT$6*$BW$5*(C108*0.001)*D108)/1000)/AQ108), 2)</f>
        <v>#DIV/0!</v>
      </c>
      <c r="AT108" s="183" t="e">
        <f>ROUND((AS108/AO108),2)</f>
        <v>#DIV/0!</v>
      </c>
      <c r="AU108" s="278" t="e">
        <f t="shared" si="107"/>
        <v>#DIV/0!</v>
      </c>
      <c r="AV108" s="222"/>
      <c r="AW108" s="227"/>
      <c r="AX108" s="186"/>
      <c r="AY108" s="186"/>
      <c r="AZ108" s="187" t="e">
        <f>INDEX('WEG Motor'!$B$3:$AZ$55,
       MATCH(AX108,'WEG Motor'!$A$3:$A$55,0),
       MATCH(AY108,'WEG Motor'!$B$2:$AZ$2,0))%</f>
        <v>#N/A</v>
      </c>
      <c r="BA108" s="187">
        <v>0.92</v>
      </c>
      <c r="BB108" s="187"/>
      <c r="BC108" s="188"/>
      <c r="BD108" s="294" t="e">
        <f>ROUND(((($BT$6*$BW$5*(C108*0.001)*D108)/1000)/BB108), 2)</f>
        <v>#DIV/0!</v>
      </c>
      <c r="BE108" s="186" t="e">
        <f>ROUND((BD108/AZ108),2)</f>
        <v>#DIV/0!</v>
      </c>
      <c r="BF108" s="279" t="e">
        <f t="shared" si="109"/>
        <v>#DIV/0!</v>
      </c>
      <c r="BG108" s="228"/>
      <c r="BH108" s="233"/>
      <c r="BI108" s="189"/>
      <c r="BJ108" s="189"/>
      <c r="BK108" s="190" t="e">
        <f>INDEX('WEG Motor'!$B$3:$AZ$55,
       MATCH(BI108,'WEG Motor'!$A$3:$A$55,0),
       MATCH(BJ108,'WEG Motor'!$B$2:$AZ$2,0))%</f>
        <v>#N/A</v>
      </c>
      <c r="BL108" s="190">
        <v>0.92</v>
      </c>
      <c r="BM108" s="190"/>
      <c r="BN108" s="191"/>
      <c r="BO108" s="289" t="e">
        <f>ROUND(((($BT$6*$BW$5*(C108*0.001)*D108)/1000)/BM108), 2)</f>
        <v>#DIV/0!</v>
      </c>
      <c r="BP108" s="290" t="e">
        <f>ROUND((BO108/BK108),2)</f>
        <v>#DIV/0!</v>
      </c>
      <c r="BQ108" s="291" t="e">
        <f>ROUND((BP108/BL108), 2)</f>
        <v>#DIV/0!</v>
      </c>
      <c r="BR108" s="192"/>
    </row>
    <row r="109" spans="1:70" x14ac:dyDescent="0.3">
      <c r="A109" s="309"/>
      <c r="B109" s="309"/>
      <c r="C109" s="312"/>
      <c r="D109" s="164">
        <v>20</v>
      </c>
      <c r="E109" s="166"/>
      <c r="F109" s="146"/>
      <c r="G109" s="146"/>
      <c r="H109" s="147" t="e">
        <f>INDEX('WEG Motor'!$B$3:$AZ$55,
       MATCH(F109,'WEG Motor'!$A$3:$A$55,0),
       MATCH(G109,'WEG Motor'!$B$2:$AZ$2,0))%</f>
        <v>#N/A</v>
      </c>
      <c r="I109" s="147">
        <v>0.92</v>
      </c>
      <c r="J109" s="283"/>
      <c r="K109" s="148"/>
      <c r="L109" s="286" t="e">
        <f>ROUND(((($BT$6*$BW$5*(C108*0.001)*D109)/1000)/J109), 2)</f>
        <v>#DIV/0!</v>
      </c>
      <c r="M109" s="146" t="e">
        <f t="shared" ref="M109:M114" si="150">ROUND((L109/H109),2)</f>
        <v>#DIV/0!</v>
      </c>
      <c r="N109" s="237" t="e">
        <f t="shared" si="101"/>
        <v>#DIV/0!</v>
      </c>
      <c r="O109" s="167"/>
      <c r="P109" s="211" t="s">
        <v>56</v>
      </c>
      <c r="Q109" s="23">
        <v>30</v>
      </c>
      <c r="R109" s="23" t="s">
        <v>35</v>
      </c>
      <c r="S109" s="149">
        <f>INDEX('WEG Motor'!$B$3:$AZ$55,
       MATCH(Q109,'WEG Motor'!$A$3:$A$55,0),
       MATCH(R109,'WEG Motor'!$B$2:$AZ$2,0))%</f>
        <v>0.93599999999999994</v>
      </c>
      <c r="T109" s="149">
        <v>0.92</v>
      </c>
      <c r="U109" s="149">
        <v>0.85609999999999997</v>
      </c>
      <c r="V109" s="150">
        <v>3.8769999999999998</v>
      </c>
      <c r="W109" s="151">
        <f>ROUND(((($BT$6*$BW$5*(C108*0.001)*D109)/1000)/U109), 2)</f>
        <v>27.5</v>
      </c>
      <c r="X109" s="23">
        <f t="shared" ref="X109:X114" si="151">ROUND((W109/S109),2)</f>
        <v>29.38</v>
      </c>
      <c r="Y109" s="238">
        <f t="shared" si="103"/>
        <v>31.93</v>
      </c>
      <c r="Z109" s="212"/>
      <c r="AA109" s="217"/>
      <c r="AB109" s="24"/>
      <c r="AC109" s="24"/>
      <c r="AD109" s="152" t="e">
        <f>INDEX('WEG Motor'!$B$3:$AZ$55,
       MATCH(AB109,'WEG Motor'!$A$3:$A$55,0),
       MATCH(AC109,'WEG Motor'!$B$2:$AZ$2,0))%</f>
        <v>#N/A</v>
      </c>
      <c r="AE109" s="152">
        <v>0.92</v>
      </c>
      <c r="AF109" s="152"/>
      <c r="AG109" s="153"/>
      <c r="AH109" s="154" t="e">
        <f>ROUND(((($BT$6*$BW$5*(C108*0.001)*D109)/1000)/AF109), 2)</f>
        <v>#DIV/0!</v>
      </c>
      <c r="AI109" s="24" t="e">
        <f t="shared" ref="AI109:AI114" si="152">ROUND((AH109/AD109),2)</f>
        <v>#DIV/0!</v>
      </c>
      <c r="AJ109" s="239" t="e">
        <f t="shared" si="105"/>
        <v>#DIV/0!</v>
      </c>
      <c r="AK109" s="218"/>
      <c r="AL109" s="223"/>
      <c r="AM109" s="25"/>
      <c r="AN109" s="25"/>
      <c r="AO109" s="155" t="e">
        <f>INDEX('WEG Motor'!$B$3:$AZ$55,
       MATCH(AM109,'WEG Motor'!$A$3:$A$55,0),
       MATCH(AN109,'WEG Motor'!$B$2:$AZ$2,0))%</f>
        <v>#N/A</v>
      </c>
      <c r="AP109" s="155">
        <v>0.92</v>
      </c>
      <c r="AQ109" s="155"/>
      <c r="AR109" s="156"/>
      <c r="AS109" s="157" t="e">
        <f>ROUND(((($BT$6*$BW$5*(C108*0.001)*D109)/1000)/AQ109), 2)</f>
        <v>#DIV/0!</v>
      </c>
      <c r="AT109" s="25" t="e">
        <f t="shared" ref="AT109:AT114" si="153">ROUND((AS109/AO109),2)</f>
        <v>#DIV/0!</v>
      </c>
      <c r="AU109" s="240" t="e">
        <f t="shared" si="107"/>
        <v>#DIV/0!</v>
      </c>
      <c r="AV109" s="224"/>
      <c r="AW109" s="229"/>
      <c r="AX109" s="12"/>
      <c r="AY109" s="12"/>
      <c r="AZ109" s="158" t="e">
        <f>INDEX('WEG Motor'!$B$3:$AZ$55,
       MATCH(AX109,'WEG Motor'!$A$3:$A$55,0),
       MATCH(AY109,'WEG Motor'!$B$2:$AZ$2,0))%</f>
        <v>#N/A</v>
      </c>
      <c r="BA109" s="158">
        <v>0.92</v>
      </c>
      <c r="BB109" s="158"/>
      <c r="BC109" s="159"/>
      <c r="BD109" s="160" t="e">
        <f>ROUND(((($BT$6*$BW$5*(C108*0.001)*D109)/1000)/BB109), 2)</f>
        <v>#DIV/0!</v>
      </c>
      <c r="BE109" s="12" t="e">
        <f t="shared" ref="BE109:BE114" si="154">ROUND((BD109/AZ109),2)</f>
        <v>#DIV/0!</v>
      </c>
      <c r="BF109" s="241" t="e">
        <f t="shared" si="109"/>
        <v>#DIV/0!</v>
      </c>
      <c r="BG109" s="230"/>
      <c r="BH109" s="234"/>
      <c r="BI109" s="22"/>
      <c r="BJ109" s="22"/>
      <c r="BK109" s="161" t="e">
        <f>INDEX('WEG Motor'!$B$3:$AZ$55,
       MATCH(BI109,'WEG Motor'!$A$3:$A$55,0),
       MATCH(BJ109,'WEG Motor'!$B$2:$AZ$2,0))%</f>
        <v>#N/A</v>
      </c>
      <c r="BL109" s="161">
        <v>0.92</v>
      </c>
      <c r="BM109" s="161"/>
      <c r="BN109" s="162"/>
      <c r="BO109" s="163" t="e">
        <f>ROUND(((($BT$6*$BW$5*(C108*0.001)*D109)/1000)/BM109), 2)</f>
        <v>#DIV/0!</v>
      </c>
      <c r="BP109" s="22" t="e">
        <f t="shared" ref="BP109:BP114" si="155">ROUND((BO109/BK109),2)</f>
        <v>#DIV/0!</v>
      </c>
      <c r="BQ109" s="242" t="e">
        <f t="shared" ref="BQ109:BQ114" si="156">ROUND((BP109/BL109), 2)</f>
        <v>#DIV/0!</v>
      </c>
      <c r="BR109" s="193"/>
    </row>
    <row r="110" spans="1:70" x14ac:dyDescent="0.3">
      <c r="A110" s="309"/>
      <c r="B110" s="309"/>
      <c r="C110" s="312"/>
      <c r="D110" s="164">
        <v>25</v>
      </c>
      <c r="E110" s="166"/>
      <c r="F110" s="146"/>
      <c r="G110" s="146"/>
      <c r="H110" s="147" t="e">
        <f>INDEX('WEG Motor'!$B$3:$AZ$55,
       MATCH(F110,'WEG Motor'!$A$3:$A$55,0),
       MATCH(G110,'WEG Motor'!$B$2:$AZ$2,0))%</f>
        <v>#N/A</v>
      </c>
      <c r="I110" s="147">
        <v>0.92</v>
      </c>
      <c r="J110" s="283"/>
      <c r="K110" s="148"/>
      <c r="L110" s="286" t="e">
        <f>ROUND(((($BT$6*$BW$5*(C108*0.001)*D110)/1000)/J110), 2)</f>
        <v>#DIV/0!</v>
      </c>
      <c r="M110" s="146" t="e">
        <f t="shared" si="150"/>
        <v>#DIV/0!</v>
      </c>
      <c r="N110" s="237" t="e">
        <f t="shared" si="101"/>
        <v>#DIV/0!</v>
      </c>
      <c r="O110" s="167"/>
      <c r="P110" s="211" t="s">
        <v>63</v>
      </c>
      <c r="Q110" s="23">
        <v>37</v>
      </c>
      <c r="R110" s="23" t="s">
        <v>35</v>
      </c>
      <c r="S110" s="149">
        <f>INDEX('WEG Motor'!$B$3:$AZ$55,
       MATCH(Q110,'WEG Motor'!$A$3:$A$55,0),
       MATCH(R110,'WEG Motor'!$B$2:$AZ$2,0))%</f>
        <v>0.93900000000000006</v>
      </c>
      <c r="T110" s="149">
        <v>0.92</v>
      </c>
      <c r="U110" s="149">
        <v>0.875</v>
      </c>
      <c r="V110" s="150">
        <v>3.8769999999999998</v>
      </c>
      <c r="W110" s="151">
        <f>ROUND(((($BT$6*$BW$5*(C108*0.001)*D110)/1000)/U110), 2)</f>
        <v>33.630000000000003</v>
      </c>
      <c r="X110" s="23">
        <f t="shared" si="151"/>
        <v>35.81</v>
      </c>
      <c r="Y110" s="238">
        <f t="shared" si="103"/>
        <v>38.92</v>
      </c>
      <c r="Z110" s="212"/>
      <c r="AA110" s="217"/>
      <c r="AB110" s="24"/>
      <c r="AC110" s="24"/>
      <c r="AD110" s="152" t="e">
        <f>INDEX('WEG Motor'!$B$3:$AZ$55,
       MATCH(AB110,'WEG Motor'!$A$3:$A$55,0),
       MATCH(AC110,'WEG Motor'!$B$2:$AZ$2,0))%</f>
        <v>#N/A</v>
      </c>
      <c r="AE110" s="152">
        <v>0.92</v>
      </c>
      <c r="AF110" s="152"/>
      <c r="AG110" s="153"/>
      <c r="AH110" s="154" t="e">
        <f>ROUND(((($BT$6*$BW$5*(C108*0.001)*D110)/1000)/AF110), 2)</f>
        <v>#DIV/0!</v>
      </c>
      <c r="AI110" s="24" t="e">
        <f t="shared" si="152"/>
        <v>#DIV/0!</v>
      </c>
      <c r="AJ110" s="239" t="e">
        <f t="shared" si="105"/>
        <v>#DIV/0!</v>
      </c>
      <c r="AK110" s="218"/>
      <c r="AL110" s="223"/>
      <c r="AM110" s="25"/>
      <c r="AN110" s="25"/>
      <c r="AO110" s="155" t="e">
        <f>INDEX('WEG Motor'!$B$3:$AZ$55,
       MATCH(AM110,'WEG Motor'!$A$3:$A$55,0),
       MATCH(AN110,'WEG Motor'!$B$2:$AZ$2,0))%</f>
        <v>#N/A</v>
      </c>
      <c r="AP110" s="155">
        <v>0.92</v>
      </c>
      <c r="AQ110" s="155"/>
      <c r="AR110" s="156"/>
      <c r="AS110" s="157" t="e">
        <f>ROUND(((($BT$6*$BW$5*(C108*0.001)*D110)/1000)/AQ110), 2)</f>
        <v>#DIV/0!</v>
      </c>
      <c r="AT110" s="25" t="e">
        <f t="shared" si="153"/>
        <v>#DIV/0!</v>
      </c>
      <c r="AU110" s="240" t="e">
        <f t="shared" si="107"/>
        <v>#DIV/0!</v>
      </c>
      <c r="AV110" s="224"/>
      <c r="AW110" s="229"/>
      <c r="AX110" s="12"/>
      <c r="AY110" s="12"/>
      <c r="AZ110" s="158" t="e">
        <f>INDEX('WEG Motor'!$B$3:$AZ$55,
       MATCH(AX110,'WEG Motor'!$A$3:$A$55,0),
       MATCH(AY110,'WEG Motor'!$B$2:$AZ$2,0))%</f>
        <v>#N/A</v>
      </c>
      <c r="BA110" s="158">
        <v>0.92</v>
      </c>
      <c r="BB110" s="158"/>
      <c r="BC110" s="159"/>
      <c r="BD110" s="160" t="e">
        <f>ROUND(((($BT$6*$BW$5*(C108*0.001)*D110)/1000)/BB110), 2)</f>
        <v>#DIV/0!</v>
      </c>
      <c r="BE110" s="12" t="e">
        <f t="shared" si="154"/>
        <v>#DIV/0!</v>
      </c>
      <c r="BF110" s="241" t="e">
        <f t="shared" si="109"/>
        <v>#DIV/0!</v>
      </c>
      <c r="BG110" s="230"/>
      <c r="BH110" s="234"/>
      <c r="BI110" s="22"/>
      <c r="BJ110" s="22"/>
      <c r="BK110" s="161" t="e">
        <f>INDEX('WEG Motor'!$B$3:$AZ$55,
       MATCH(BI110,'WEG Motor'!$A$3:$A$55,0),
       MATCH(BJ110,'WEG Motor'!$B$2:$AZ$2,0))%</f>
        <v>#N/A</v>
      </c>
      <c r="BL110" s="161">
        <v>0.92</v>
      </c>
      <c r="BM110" s="161"/>
      <c r="BN110" s="162"/>
      <c r="BO110" s="163" t="e">
        <f>ROUND(((($BT$6*$BW$5*(C108*0.001)*D110)/1000)/BM110), 2)</f>
        <v>#DIV/0!</v>
      </c>
      <c r="BP110" s="22" t="e">
        <f t="shared" si="155"/>
        <v>#DIV/0!</v>
      </c>
      <c r="BQ110" s="242" t="e">
        <f t="shared" si="156"/>
        <v>#DIV/0!</v>
      </c>
      <c r="BR110" s="193"/>
    </row>
    <row r="111" spans="1:70" x14ac:dyDescent="0.3">
      <c r="A111" s="309"/>
      <c r="B111" s="309"/>
      <c r="C111" s="312"/>
      <c r="D111" s="164">
        <v>30</v>
      </c>
      <c r="E111" s="166"/>
      <c r="F111" s="146"/>
      <c r="G111" s="146"/>
      <c r="H111" s="147" t="e">
        <f>INDEX('WEG Motor'!$B$3:$AZ$55,
       MATCH(F111,'WEG Motor'!$A$3:$A$55,0),
       MATCH(G111,'WEG Motor'!$B$2:$AZ$2,0))%</f>
        <v>#N/A</v>
      </c>
      <c r="I111" s="147">
        <v>0.92</v>
      </c>
      <c r="J111" s="283"/>
      <c r="K111" s="148"/>
      <c r="L111" s="286" t="e">
        <f>ROUND(((($BT$6*$BW$5*(C108*0.001)*D111)/1000)/J111), 2)</f>
        <v>#DIV/0!</v>
      </c>
      <c r="M111" s="146" t="e">
        <f t="shared" si="150"/>
        <v>#DIV/0!</v>
      </c>
      <c r="N111" s="237" t="e">
        <f t="shared" si="101"/>
        <v>#DIV/0!</v>
      </c>
      <c r="O111" s="167"/>
      <c r="P111" s="211" t="s">
        <v>64</v>
      </c>
      <c r="Q111" s="23">
        <v>45</v>
      </c>
      <c r="R111" s="23" t="s">
        <v>35</v>
      </c>
      <c r="S111" s="149">
        <f>INDEX('WEG Motor'!$B$3:$AZ$55,
       MATCH(Q111,'WEG Motor'!$A$3:$A$55,0),
       MATCH(R111,'WEG Motor'!$B$2:$AZ$2,0))%</f>
        <v>0.94200000000000006</v>
      </c>
      <c r="T111" s="149">
        <v>0.92</v>
      </c>
      <c r="U111" s="149">
        <v>0.87919999999999998</v>
      </c>
      <c r="V111" s="150">
        <v>3.8769999999999998</v>
      </c>
      <c r="W111" s="151">
        <f>ROUND(((($BT$6*$BW$5*(C108*0.001)*D111)/1000)/U111), 2)</f>
        <v>40.159999999999997</v>
      </c>
      <c r="X111" s="23">
        <f t="shared" si="151"/>
        <v>42.63</v>
      </c>
      <c r="Y111" s="238">
        <f t="shared" si="103"/>
        <v>46.34</v>
      </c>
      <c r="Z111" s="212"/>
      <c r="AA111" s="217"/>
      <c r="AB111" s="24"/>
      <c r="AC111" s="24"/>
      <c r="AD111" s="152" t="e">
        <f>INDEX('WEG Motor'!$B$3:$AZ$55,
       MATCH(AB111,'WEG Motor'!$A$3:$A$55,0),
       MATCH(AC111,'WEG Motor'!$B$2:$AZ$2,0))%</f>
        <v>#N/A</v>
      </c>
      <c r="AE111" s="152">
        <v>0.92</v>
      </c>
      <c r="AF111" s="152"/>
      <c r="AG111" s="153"/>
      <c r="AH111" s="154" t="e">
        <f>ROUND(((($BT$6*$BW$5*(C108*0.001)*D111)/1000)/AF111), 2)</f>
        <v>#DIV/0!</v>
      </c>
      <c r="AI111" s="24" t="e">
        <f t="shared" si="152"/>
        <v>#DIV/0!</v>
      </c>
      <c r="AJ111" s="239" t="e">
        <f t="shared" si="105"/>
        <v>#DIV/0!</v>
      </c>
      <c r="AK111" s="218"/>
      <c r="AL111" s="223"/>
      <c r="AM111" s="25"/>
      <c r="AN111" s="25"/>
      <c r="AO111" s="155" t="e">
        <f>INDEX('WEG Motor'!$B$3:$AZ$55,
       MATCH(AM111,'WEG Motor'!$A$3:$A$55,0),
       MATCH(AN111,'WEG Motor'!$B$2:$AZ$2,0))%</f>
        <v>#N/A</v>
      </c>
      <c r="AP111" s="155">
        <v>0.92</v>
      </c>
      <c r="AQ111" s="155"/>
      <c r="AR111" s="156"/>
      <c r="AS111" s="157" t="e">
        <f>ROUND(((($BT$6*$BW$5*(C108*0.001)*D111)/1000)/AQ111), 2)</f>
        <v>#DIV/0!</v>
      </c>
      <c r="AT111" s="25" t="e">
        <f t="shared" si="153"/>
        <v>#DIV/0!</v>
      </c>
      <c r="AU111" s="240" t="e">
        <f t="shared" si="107"/>
        <v>#DIV/0!</v>
      </c>
      <c r="AV111" s="224"/>
      <c r="AW111" s="229"/>
      <c r="AX111" s="12"/>
      <c r="AY111" s="12"/>
      <c r="AZ111" s="158" t="e">
        <f>INDEX('WEG Motor'!$B$3:$AZ$55,
       MATCH(AX111,'WEG Motor'!$A$3:$A$55,0),
       MATCH(AY111,'WEG Motor'!$B$2:$AZ$2,0))%</f>
        <v>#N/A</v>
      </c>
      <c r="BA111" s="158">
        <v>0.92</v>
      </c>
      <c r="BB111" s="158"/>
      <c r="BC111" s="159"/>
      <c r="BD111" s="160" t="e">
        <f>ROUND(((($BT$6*$BW$5*(C108*0.001)*D111)/1000)/BB111), 2)</f>
        <v>#DIV/0!</v>
      </c>
      <c r="BE111" s="12" t="e">
        <f t="shared" si="154"/>
        <v>#DIV/0!</v>
      </c>
      <c r="BF111" s="241" t="e">
        <f t="shared" si="109"/>
        <v>#DIV/0!</v>
      </c>
      <c r="BG111" s="230"/>
      <c r="BH111" s="234"/>
      <c r="BI111" s="22"/>
      <c r="BJ111" s="22"/>
      <c r="BK111" s="161" t="e">
        <f>INDEX('WEG Motor'!$B$3:$AZ$55,
       MATCH(BI111,'WEG Motor'!$A$3:$A$55,0),
       MATCH(BJ111,'WEG Motor'!$B$2:$AZ$2,0))%</f>
        <v>#N/A</v>
      </c>
      <c r="BL111" s="161">
        <v>0.92</v>
      </c>
      <c r="BM111" s="161"/>
      <c r="BN111" s="162"/>
      <c r="BO111" s="163" t="e">
        <f>ROUND(((($BT$6*$BW$5*(C108*0.001)*D111)/1000)/BM111), 2)</f>
        <v>#DIV/0!</v>
      </c>
      <c r="BP111" s="22" t="e">
        <f t="shared" si="155"/>
        <v>#DIV/0!</v>
      </c>
      <c r="BQ111" s="242" t="e">
        <f t="shared" si="156"/>
        <v>#DIV/0!</v>
      </c>
      <c r="BR111" s="193"/>
    </row>
    <row r="112" spans="1:70" x14ac:dyDescent="0.3">
      <c r="A112" s="309"/>
      <c r="B112" s="309"/>
      <c r="C112" s="312"/>
      <c r="D112" s="164">
        <v>35</v>
      </c>
      <c r="E112" s="166"/>
      <c r="F112" s="146"/>
      <c r="G112" s="146"/>
      <c r="H112" s="147" t="e">
        <f>INDEX('WEG Motor'!$B$3:$AZ$55,
       MATCH(F112,'WEG Motor'!$A$3:$A$55,0),
       MATCH(G112,'WEG Motor'!$B$2:$AZ$2,0))%</f>
        <v>#N/A</v>
      </c>
      <c r="I112" s="147">
        <v>0.92</v>
      </c>
      <c r="J112" s="283"/>
      <c r="K112" s="148"/>
      <c r="L112" s="286" t="e">
        <f t="shared" ref="L112" si="157">ROUND(((($BT$6*$BW$5*(C112*0.001)*D112)/1000)/J112), 2)</f>
        <v>#DIV/0!</v>
      </c>
      <c r="M112" s="146" t="e">
        <f t="shared" si="150"/>
        <v>#DIV/0!</v>
      </c>
      <c r="N112" s="237" t="e">
        <f t="shared" si="101"/>
        <v>#DIV/0!</v>
      </c>
      <c r="O112" s="167"/>
      <c r="P112" s="211" t="s">
        <v>146</v>
      </c>
      <c r="Q112" s="23">
        <v>55</v>
      </c>
      <c r="R112" s="23" t="s">
        <v>35</v>
      </c>
      <c r="S112" s="149">
        <f>INDEX('WEG Motor'!$B$3:$AZ$55,
       MATCH(Q112,'WEG Motor'!$A$3:$A$55,0),
       MATCH(R112,'WEG Motor'!$B$2:$AZ$2,0))%</f>
        <v>0.94599999999999995</v>
      </c>
      <c r="T112" s="149">
        <v>0.92</v>
      </c>
      <c r="U112" s="149">
        <v>0.83860000000000001</v>
      </c>
      <c r="V112" s="150">
        <v>2.8410000000000002</v>
      </c>
      <c r="W112" s="151">
        <f>ROUND(((($BT$6*$BW$5*(C108*0.001)*D112)/1000)/U112), 2)</f>
        <v>49.12</v>
      </c>
      <c r="X112" s="23">
        <f t="shared" si="151"/>
        <v>51.92</v>
      </c>
      <c r="Y112" s="238">
        <f t="shared" si="103"/>
        <v>56.43</v>
      </c>
      <c r="Z112" s="212"/>
      <c r="AA112" s="217"/>
      <c r="AB112" s="24"/>
      <c r="AC112" s="24"/>
      <c r="AD112" s="152" t="e">
        <f>INDEX('WEG Motor'!$B$3:$AZ$55,
       MATCH(AB112,'WEG Motor'!$A$3:$A$55,0),
       MATCH(AC112,'WEG Motor'!$B$2:$AZ$2,0))%</f>
        <v>#N/A</v>
      </c>
      <c r="AE112" s="152">
        <v>0.92</v>
      </c>
      <c r="AF112" s="152"/>
      <c r="AG112" s="153"/>
      <c r="AH112" s="154" t="e">
        <f>ROUND(((($BT$6*$BW$5*(C108*0.001)*D112)/1000)/AF112), 2)</f>
        <v>#DIV/0!</v>
      </c>
      <c r="AI112" s="24" t="e">
        <f t="shared" si="152"/>
        <v>#DIV/0!</v>
      </c>
      <c r="AJ112" s="239" t="e">
        <f t="shared" si="105"/>
        <v>#DIV/0!</v>
      </c>
      <c r="AK112" s="218"/>
      <c r="AL112" s="223"/>
      <c r="AM112" s="25"/>
      <c r="AN112" s="25"/>
      <c r="AO112" s="155" t="e">
        <f>INDEX('WEG Motor'!$B$3:$AZ$55,
       MATCH(AM112,'WEG Motor'!$A$3:$A$55,0),
       MATCH(AN112,'WEG Motor'!$B$2:$AZ$2,0))%</f>
        <v>#N/A</v>
      </c>
      <c r="AP112" s="155">
        <v>0.92</v>
      </c>
      <c r="AQ112" s="155"/>
      <c r="AR112" s="156"/>
      <c r="AS112" s="157" t="e">
        <f>ROUND(((($BT$6*$BW$5*(C108*0.001)*D112)/1000)/AQ112), 2)</f>
        <v>#DIV/0!</v>
      </c>
      <c r="AT112" s="25" t="e">
        <f t="shared" si="153"/>
        <v>#DIV/0!</v>
      </c>
      <c r="AU112" s="240" t="e">
        <f t="shared" si="107"/>
        <v>#DIV/0!</v>
      </c>
      <c r="AV112" s="224"/>
      <c r="AW112" s="229"/>
      <c r="AX112" s="12"/>
      <c r="AY112" s="12"/>
      <c r="AZ112" s="158" t="e">
        <f>INDEX('WEG Motor'!$B$3:$AZ$55,
       MATCH(AX112,'WEG Motor'!$A$3:$A$55,0),
       MATCH(AY112,'WEG Motor'!$B$2:$AZ$2,0))%</f>
        <v>#N/A</v>
      </c>
      <c r="BA112" s="158">
        <v>0.92</v>
      </c>
      <c r="BB112" s="158"/>
      <c r="BC112" s="159"/>
      <c r="BD112" s="160" t="e">
        <f>ROUND(((($BT$6*$BW$5*(C108*0.001)*D112)/1000)/BB112), 2)</f>
        <v>#DIV/0!</v>
      </c>
      <c r="BE112" s="12" t="e">
        <f t="shared" si="154"/>
        <v>#DIV/0!</v>
      </c>
      <c r="BF112" s="241" t="e">
        <f t="shared" si="109"/>
        <v>#DIV/0!</v>
      </c>
      <c r="BG112" s="230"/>
      <c r="BH112" s="234"/>
      <c r="BI112" s="22"/>
      <c r="BJ112" s="22"/>
      <c r="BK112" s="161" t="e">
        <f>INDEX('WEG Motor'!$B$3:$AZ$55,
       MATCH(BI112,'WEG Motor'!$A$3:$A$55,0),
       MATCH(BJ112,'WEG Motor'!$B$2:$AZ$2,0))%</f>
        <v>#N/A</v>
      </c>
      <c r="BL112" s="161">
        <v>0.92</v>
      </c>
      <c r="BM112" s="161"/>
      <c r="BN112" s="162"/>
      <c r="BO112" s="163" t="e">
        <f>ROUND(((($BT$6*$BW$5*(C108*0.001)*D112)/1000)/BM112), 2)</f>
        <v>#DIV/0!</v>
      </c>
      <c r="BP112" s="22" t="e">
        <f t="shared" si="155"/>
        <v>#DIV/0!</v>
      </c>
      <c r="BQ112" s="242" t="e">
        <f t="shared" si="156"/>
        <v>#DIV/0!</v>
      </c>
      <c r="BR112" s="193"/>
    </row>
    <row r="113" spans="1:70" x14ac:dyDescent="0.3">
      <c r="A113" s="309"/>
      <c r="B113" s="309"/>
      <c r="C113" s="312"/>
      <c r="D113" s="164">
        <v>40</v>
      </c>
      <c r="E113" s="166"/>
      <c r="F113" s="146"/>
      <c r="G113" s="146"/>
      <c r="H113" s="147" t="e">
        <f>INDEX('WEG Motor'!$B$3:$AZ$55,
       MATCH(F113,'WEG Motor'!$A$3:$A$55,0),
       MATCH(G113,'WEG Motor'!$B$2:$AZ$2,0))%</f>
        <v>#N/A</v>
      </c>
      <c r="I113" s="147">
        <v>0.92</v>
      </c>
      <c r="J113" s="283"/>
      <c r="K113" s="148"/>
      <c r="L113" s="286" t="e">
        <f>ROUND(((($BT$6*$BW$5*(C108*0.001)*D113)/1000)/J113), 2)</f>
        <v>#DIV/0!</v>
      </c>
      <c r="M113" s="146" t="e">
        <f t="shared" si="150"/>
        <v>#DIV/0!</v>
      </c>
      <c r="N113" s="237" t="e">
        <f t="shared" si="101"/>
        <v>#DIV/0!</v>
      </c>
      <c r="O113" s="167"/>
      <c r="P113" s="211" t="s">
        <v>148</v>
      </c>
      <c r="Q113" s="23">
        <v>75</v>
      </c>
      <c r="R113" s="23" t="s">
        <v>35</v>
      </c>
      <c r="S113" s="149">
        <f>INDEX('WEG Motor'!$B$3:$AZ$55,
       MATCH(Q113,'WEG Motor'!$A$3:$A$55,0),
       MATCH(R113,'WEG Motor'!$B$2:$AZ$2,0))%</f>
        <v>0.95</v>
      </c>
      <c r="T113" s="149">
        <v>0.92</v>
      </c>
      <c r="U113" s="149">
        <v>0.84899999999999998</v>
      </c>
      <c r="V113" s="150">
        <v>2.8410000000000002</v>
      </c>
      <c r="W113" s="151">
        <f>ROUND(((($BT$6*$BW$5*(C108*0.001)*D113)/1000)/U113), 2)</f>
        <v>55.45</v>
      </c>
      <c r="X113" s="23">
        <f t="shared" si="151"/>
        <v>58.37</v>
      </c>
      <c r="Y113" s="238">
        <f t="shared" si="103"/>
        <v>63.45</v>
      </c>
      <c r="Z113" s="212"/>
      <c r="AA113" s="217"/>
      <c r="AB113" s="24"/>
      <c r="AC113" s="24"/>
      <c r="AD113" s="152" t="e">
        <f>INDEX('WEG Motor'!$B$3:$AZ$55,
       MATCH(AB113,'WEG Motor'!$A$3:$A$55,0),
       MATCH(AC113,'WEG Motor'!$B$2:$AZ$2,0))%</f>
        <v>#N/A</v>
      </c>
      <c r="AE113" s="152">
        <v>0.92</v>
      </c>
      <c r="AF113" s="152"/>
      <c r="AG113" s="153"/>
      <c r="AH113" s="154" t="e">
        <f>ROUND(((($BT$6*$BW$5*(C108*0.001)*D113)/1000)/AF113), 2)</f>
        <v>#DIV/0!</v>
      </c>
      <c r="AI113" s="24" t="e">
        <f t="shared" si="152"/>
        <v>#DIV/0!</v>
      </c>
      <c r="AJ113" s="239" t="e">
        <f t="shared" si="105"/>
        <v>#DIV/0!</v>
      </c>
      <c r="AK113" s="218"/>
      <c r="AL113" s="223"/>
      <c r="AM113" s="25"/>
      <c r="AN113" s="25"/>
      <c r="AO113" s="155" t="e">
        <f>INDEX('WEG Motor'!$B$3:$AZ$55,
       MATCH(AM113,'WEG Motor'!$A$3:$A$55,0),
       MATCH(AN113,'WEG Motor'!$B$2:$AZ$2,0))%</f>
        <v>#N/A</v>
      </c>
      <c r="AP113" s="155">
        <v>0.92</v>
      </c>
      <c r="AQ113" s="155"/>
      <c r="AR113" s="156"/>
      <c r="AS113" s="157" t="e">
        <f>ROUND(((($BT$6*$BW$5*(C108*0.001)*D113)/1000)/AQ113), 2)</f>
        <v>#DIV/0!</v>
      </c>
      <c r="AT113" s="25" t="e">
        <f t="shared" si="153"/>
        <v>#DIV/0!</v>
      </c>
      <c r="AU113" s="240" t="e">
        <f t="shared" si="107"/>
        <v>#DIV/0!</v>
      </c>
      <c r="AV113" s="224"/>
      <c r="AW113" s="229"/>
      <c r="AX113" s="12"/>
      <c r="AY113" s="12"/>
      <c r="AZ113" s="158" t="e">
        <f>INDEX('WEG Motor'!$B$3:$AZ$55,
       MATCH(AX113,'WEG Motor'!$A$3:$A$55,0),
       MATCH(AY113,'WEG Motor'!$B$2:$AZ$2,0))%</f>
        <v>#N/A</v>
      </c>
      <c r="BA113" s="158">
        <v>0.92</v>
      </c>
      <c r="BB113" s="158"/>
      <c r="BC113" s="159"/>
      <c r="BD113" s="160" t="e">
        <f>ROUND(((($BT$6*$BW$5*(C108*0.001)*D113)/1000)/BB113), 2)</f>
        <v>#DIV/0!</v>
      </c>
      <c r="BE113" s="12" t="e">
        <f t="shared" si="154"/>
        <v>#DIV/0!</v>
      </c>
      <c r="BF113" s="241" t="e">
        <f t="shared" si="109"/>
        <v>#DIV/0!</v>
      </c>
      <c r="BG113" s="230"/>
      <c r="BH113" s="234"/>
      <c r="BI113" s="22"/>
      <c r="BJ113" s="22"/>
      <c r="BK113" s="161" t="e">
        <f>INDEX('WEG Motor'!$B$3:$AZ$55,
       MATCH(BI113,'WEG Motor'!$A$3:$A$55,0),
       MATCH(BJ113,'WEG Motor'!$B$2:$AZ$2,0))%</f>
        <v>#N/A</v>
      </c>
      <c r="BL113" s="161">
        <v>0.92</v>
      </c>
      <c r="BM113" s="161"/>
      <c r="BN113" s="162"/>
      <c r="BO113" s="163" t="e">
        <f>ROUND(((($BT$6*$BW$5*(C108*0.001)*D113)/1000)/BM113), 2)</f>
        <v>#DIV/0!</v>
      </c>
      <c r="BP113" s="22" t="e">
        <f t="shared" si="155"/>
        <v>#DIV/0!</v>
      </c>
      <c r="BQ113" s="242" t="e">
        <f t="shared" si="156"/>
        <v>#DIV/0!</v>
      </c>
      <c r="BR113" s="193"/>
    </row>
    <row r="114" spans="1:70" ht="15" thickBot="1" x14ac:dyDescent="0.35">
      <c r="A114" s="310"/>
      <c r="B114" s="310"/>
      <c r="C114" s="313"/>
      <c r="D114" s="165">
        <v>45</v>
      </c>
      <c r="E114" s="168"/>
      <c r="F114" s="169"/>
      <c r="G114" s="169"/>
      <c r="H114" s="170" t="e">
        <f>INDEX('WEG Motor'!$B$3:$AZ$55,
       MATCH(F114,'WEG Motor'!$A$3:$A$55,0),
       MATCH(G114,'WEG Motor'!$B$2:$AZ$2,0))%</f>
        <v>#N/A</v>
      </c>
      <c r="I114" s="170">
        <v>0.92</v>
      </c>
      <c r="J114" s="284"/>
      <c r="K114" s="171"/>
      <c r="L114" s="287" t="e">
        <f>ROUND(((($BT$6*$BW$5*(C108*0.001)*D114)/1000)/J114), 2)</f>
        <v>#DIV/0!</v>
      </c>
      <c r="M114" s="169" t="e">
        <f t="shared" si="150"/>
        <v>#DIV/0!</v>
      </c>
      <c r="N114" s="247" t="e">
        <f t="shared" si="101"/>
        <v>#DIV/0!</v>
      </c>
      <c r="O114" s="172"/>
      <c r="P114" s="213" t="s">
        <v>148</v>
      </c>
      <c r="Q114" s="194">
        <v>75</v>
      </c>
      <c r="R114" s="194" t="s">
        <v>35</v>
      </c>
      <c r="S114" s="195">
        <f>INDEX('WEG Motor'!$B$3:$AZ$55,
       MATCH(Q114,'WEG Motor'!$A$3:$A$55,0),
       MATCH(R114,'WEG Motor'!$B$2:$AZ$2,0))%</f>
        <v>0.95</v>
      </c>
      <c r="T114" s="195">
        <v>0.92</v>
      </c>
      <c r="U114" s="195">
        <v>0.85340000000000005</v>
      </c>
      <c r="V114" s="196">
        <v>2.8410000000000002</v>
      </c>
      <c r="W114" s="140">
        <f>ROUND(((($BT$6*$BW$5*(C108*0.001)*D114)/1000)/U114), 2)</f>
        <v>62.06</v>
      </c>
      <c r="X114" s="194">
        <f t="shared" si="151"/>
        <v>65.33</v>
      </c>
      <c r="Y114" s="246">
        <f t="shared" si="103"/>
        <v>71.010000000000005</v>
      </c>
      <c r="Z114" s="214"/>
      <c r="AA114" s="219"/>
      <c r="AB114" s="197"/>
      <c r="AC114" s="197"/>
      <c r="AD114" s="198" t="e">
        <f>INDEX('WEG Motor'!$B$3:$AZ$55,
       MATCH(AB114,'WEG Motor'!$A$3:$A$55,0),
       MATCH(AC114,'WEG Motor'!$B$2:$AZ$2,0))%</f>
        <v>#N/A</v>
      </c>
      <c r="AE114" s="198">
        <v>0.92</v>
      </c>
      <c r="AF114" s="198"/>
      <c r="AG114" s="199"/>
      <c r="AH114" s="141" t="e">
        <f>ROUND(((($BT$6*$BW$5*(C108*0.001)*D114)/1000)/AF114), 2)</f>
        <v>#DIV/0!</v>
      </c>
      <c r="AI114" s="197" t="e">
        <f t="shared" si="152"/>
        <v>#DIV/0!</v>
      </c>
      <c r="AJ114" s="245" t="e">
        <f t="shared" si="105"/>
        <v>#DIV/0!</v>
      </c>
      <c r="AK114" s="220"/>
      <c r="AL114" s="225"/>
      <c r="AM114" s="200"/>
      <c r="AN114" s="200"/>
      <c r="AO114" s="201" t="e">
        <f>INDEX('WEG Motor'!$B$3:$AZ$55,
       MATCH(AM114,'WEG Motor'!$A$3:$A$55,0),
       MATCH(AN114,'WEG Motor'!$B$2:$AZ$2,0))%</f>
        <v>#N/A</v>
      </c>
      <c r="AP114" s="201">
        <v>0.92</v>
      </c>
      <c r="AQ114" s="201"/>
      <c r="AR114" s="202"/>
      <c r="AS114" s="142" t="e">
        <f>ROUND(((($BT$6*$BW$5*(C108*0.001)*D114)/1000)/AQ114), 2)</f>
        <v>#DIV/0!</v>
      </c>
      <c r="AT114" s="200" t="e">
        <f t="shared" si="153"/>
        <v>#DIV/0!</v>
      </c>
      <c r="AU114" s="244" t="e">
        <f t="shared" si="107"/>
        <v>#DIV/0!</v>
      </c>
      <c r="AV114" s="226"/>
      <c r="AW114" s="231"/>
      <c r="AX114" s="203"/>
      <c r="AY114" s="203"/>
      <c r="AZ114" s="204" t="e">
        <f>INDEX('WEG Motor'!$B$3:$AZ$55,
       MATCH(AX114,'WEG Motor'!$A$3:$A$55,0),
       MATCH(AY114,'WEG Motor'!$B$2:$AZ$2,0))%</f>
        <v>#N/A</v>
      </c>
      <c r="BA114" s="204">
        <v>0.92</v>
      </c>
      <c r="BB114" s="204"/>
      <c r="BC114" s="205"/>
      <c r="BD114" s="143" t="e">
        <f>ROUND(((($BT$6*$BW$5*(C108*0.001)*D114)/1000)/BB114), 2)</f>
        <v>#DIV/0!</v>
      </c>
      <c r="BE114" s="203" t="e">
        <f t="shared" si="154"/>
        <v>#DIV/0!</v>
      </c>
      <c r="BF114" s="243" t="e">
        <f t="shared" si="109"/>
        <v>#DIV/0!</v>
      </c>
      <c r="BG114" s="232"/>
      <c r="BH114" s="235"/>
      <c r="BI114" s="66"/>
      <c r="BJ114" s="66"/>
      <c r="BK114" s="206" t="e">
        <f>INDEX('WEG Motor'!$B$3:$AZ$55,
       MATCH(BI114,'WEG Motor'!$A$3:$A$55,0),
       MATCH(BJ114,'WEG Motor'!$B$2:$AZ$2,0))%</f>
        <v>#N/A</v>
      </c>
      <c r="BL114" s="206">
        <v>0.92</v>
      </c>
      <c r="BM114" s="206"/>
      <c r="BN114" s="207"/>
      <c r="BO114" s="144" t="e">
        <f>ROUND(((($BT$6*$BW$5*(C108*0.001)*D114)/1000)/BM114), 2)</f>
        <v>#DIV/0!</v>
      </c>
      <c r="BP114" s="292" t="e">
        <f t="shared" si="155"/>
        <v>#DIV/0!</v>
      </c>
      <c r="BQ114" s="293" t="e">
        <f t="shared" si="156"/>
        <v>#DIV/0!</v>
      </c>
      <c r="BR114" s="208"/>
    </row>
    <row r="115" spans="1:70" x14ac:dyDescent="0.3">
      <c r="A115" s="308">
        <v>16</v>
      </c>
      <c r="B115" s="308">
        <v>1050</v>
      </c>
      <c r="C115" s="311">
        <f>ROUND((B115 * $BW$7 * 1000) / ($BT$6 * $BW$3 * $BW$4), 0)</f>
        <v>126</v>
      </c>
      <c r="D115" s="145">
        <v>15</v>
      </c>
      <c r="E115" s="173"/>
      <c r="F115" s="53"/>
      <c r="G115" s="53"/>
      <c r="H115" s="174" t="e">
        <f>INDEX('WEG Motor'!$B$3:$AZ$55,
       MATCH(F115,'WEG Motor'!$A$3:$A$55,0),
       MATCH(G115,'WEG Motor'!$B$2:$AZ$2,0))%</f>
        <v>#N/A</v>
      </c>
      <c r="I115" s="174">
        <v>0.92</v>
      </c>
      <c r="J115" s="282"/>
      <c r="K115" s="175"/>
      <c r="L115" s="285" t="e">
        <f t="shared" ref="L115" si="158">ROUND(((($BT$6*$BW$5*(C115*0.001)*D115)/1000)/J115), 2)</f>
        <v>#DIV/0!</v>
      </c>
      <c r="M115" s="53" t="e">
        <f>ROUND((L115/H115),2)</f>
        <v>#DIV/0!</v>
      </c>
      <c r="N115" s="236" t="e">
        <f t="shared" si="101"/>
        <v>#DIV/0!</v>
      </c>
      <c r="O115" s="176"/>
      <c r="P115" s="209" t="s">
        <v>150</v>
      </c>
      <c r="Q115" s="177">
        <v>30</v>
      </c>
      <c r="R115" s="177" t="s">
        <v>35</v>
      </c>
      <c r="S115" s="178">
        <f>INDEX('WEG Motor'!$B$3:$AZ$55,
       MATCH(Q115,'WEG Motor'!$A$3:$A$55,0),
       MATCH(R115,'WEG Motor'!$B$2:$AZ$2,0))%</f>
        <v>0.93599999999999994</v>
      </c>
      <c r="T115" s="178">
        <v>0.92</v>
      </c>
      <c r="U115" s="178">
        <v>0.84889999999999999</v>
      </c>
      <c r="V115" s="179">
        <v>3.415</v>
      </c>
      <c r="W115" s="297">
        <f>ROUND(((($BT$6*$BW$5*(C115*0.001)*D115)/1000)/U115), 2)</f>
        <v>21.84</v>
      </c>
      <c r="X115" s="177">
        <f>ROUND((W115/S115),2)</f>
        <v>23.33</v>
      </c>
      <c r="Y115" s="276">
        <f t="shared" si="103"/>
        <v>25.36</v>
      </c>
      <c r="Z115" s="210"/>
      <c r="AA115" s="215"/>
      <c r="AB115" s="180"/>
      <c r="AC115" s="180"/>
      <c r="AD115" s="181" t="e">
        <f>INDEX('WEG Motor'!$B$3:$AZ$55,
       MATCH(AB115,'WEG Motor'!$A$3:$A$55,0),
       MATCH(AC115,'WEG Motor'!$B$2:$AZ$2,0))%</f>
        <v>#N/A</v>
      </c>
      <c r="AE115" s="181">
        <v>0.92</v>
      </c>
      <c r="AF115" s="181"/>
      <c r="AG115" s="182"/>
      <c r="AH115" s="296" t="e">
        <f>ROUND(((($BT$6*$BW$5*(C115*0.001)*D115)/1000)/AF115), 2)</f>
        <v>#DIV/0!</v>
      </c>
      <c r="AI115" s="180" t="e">
        <f>ROUND((AH115/AD115),2)</f>
        <v>#DIV/0!</v>
      </c>
      <c r="AJ115" s="277" t="e">
        <f t="shared" si="105"/>
        <v>#DIV/0!</v>
      </c>
      <c r="AK115" s="216"/>
      <c r="AL115" s="221"/>
      <c r="AM115" s="183"/>
      <c r="AN115" s="183"/>
      <c r="AO115" s="184" t="e">
        <f>INDEX('WEG Motor'!$B$3:$AZ$55,
       MATCH(AM115,'WEG Motor'!$A$3:$A$55,0),
       MATCH(AN115,'WEG Motor'!$B$2:$AZ$2,0))%</f>
        <v>#N/A</v>
      </c>
      <c r="AP115" s="184">
        <v>0.92</v>
      </c>
      <c r="AQ115" s="184"/>
      <c r="AR115" s="185"/>
      <c r="AS115" s="295" t="e">
        <f>ROUND(((($BT$6*$BW$5*(C115*0.001)*D115)/1000)/AQ115), 2)</f>
        <v>#DIV/0!</v>
      </c>
      <c r="AT115" s="183" t="e">
        <f>ROUND((AS115/AO115),2)</f>
        <v>#DIV/0!</v>
      </c>
      <c r="AU115" s="278" t="e">
        <f t="shared" si="107"/>
        <v>#DIV/0!</v>
      </c>
      <c r="AV115" s="222"/>
      <c r="AW115" s="227"/>
      <c r="AX115" s="186"/>
      <c r="AY115" s="186"/>
      <c r="AZ115" s="187" t="e">
        <f>INDEX('WEG Motor'!$B$3:$AZ$55,
       MATCH(AX115,'WEG Motor'!$A$3:$A$55,0),
       MATCH(AY115,'WEG Motor'!$B$2:$AZ$2,0))%</f>
        <v>#N/A</v>
      </c>
      <c r="BA115" s="187">
        <v>0.92</v>
      </c>
      <c r="BB115" s="187"/>
      <c r="BC115" s="188"/>
      <c r="BD115" s="294" t="e">
        <f>ROUND(((($BT$6*$BW$5*(C115*0.001)*D115)/1000)/BB115), 2)</f>
        <v>#DIV/0!</v>
      </c>
      <c r="BE115" s="186" t="e">
        <f>ROUND((BD115/AZ115),2)</f>
        <v>#DIV/0!</v>
      </c>
      <c r="BF115" s="279" t="e">
        <f t="shared" si="109"/>
        <v>#DIV/0!</v>
      </c>
      <c r="BG115" s="228"/>
      <c r="BH115" s="233"/>
      <c r="BI115" s="189"/>
      <c r="BJ115" s="189"/>
      <c r="BK115" s="190" t="e">
        <f>INDEX('WEG Motor'!$B$3:$AZ$55,
       MATCH(BI115,'WEG Motor'!$A$3:$A$55,0),
       MATCH(BJ115,'WEG Motor'!$B$2:$AZ$2,0))%</f>
        <v>#N/A</v>
      </c>
      <c r="BL115" s="190">
        <v>0.92</v>
      </c>
      <c r="BM115" s="190"/>
      <c r="BN115" s="191"/>
      <c r="BO115" s="289" t="e">
        <f>ROUND(((($BT$6*$BW$5*(C115*0.001)*D115)/1000)/BM115), 2)</f>
        <v>#DIV/0!</v>
      </c>
      <c r="BP115" s="290" t="e">
        <f>ROUND((BO115/BK115),2)</f>
        <v>#DIV/0!</v>
      </c>
      <c r="BQ115" s="291" t="e">
        <f>ROUND((BP115/BL115), 2)</f>
        <v>#DIV/0!</v>
      </c>
      <c r="BR115" s="192"/>
    </row>
    <row r="116" spans="1:70" x14ac:dyDescent="0.3">
      <c r="A116" s="309"/>
      <c r="B116" s="309"/>
      <c r="C116" s="312"/>
      <c r="D116" s="164">
        <v>20</v>
      </c>
      <c r="E116" s="166"/>
      <c r="F116" s="146"/>
      <c r="G116" s="146"/>
      <c r="H116" s="147" t="e">
        <f>INDEX('WEG Motor'!$B$3:$AZ$55,
       MATCH(F116,'WEG Motor'!$A$3:$A$55,0),
       MATCH(G116,'WEG Motor'!$B$2:$AZ$2,0))%</f>
        <v>#N/A</v>
      </c>
      <c r="I116" s="147">
        <v>0.92</v>
      </c>
      <c r="J116" s="283"/>
      <c r="K116" s="148"/>
      <c r="L116" s="286" t="e">
        <f>ROUND(((($BT$6*$BW$5*(C115*0.001)*D116)/1000)/J116), 2)</f>
        <v>#DIV/0!</v>
      </c>
      <c r="M116" s="146" t="e">
        <f t="shared" ref="M116:M121" si="159">ROUND((L116/H116),2)</f>
        <v>#DIV/0!</v>
      </c>
      <c r="N116" s="237" t="e">
        <f t="shared" si="101"/>
        <v>#DIV/0!</v>
      </c>
      <c r="O116" s="167"/>
      <c r="P116" s="211" t="s">
        <v>63</v>
      </c>
      <c r="Q116" s="23">
        <v>37</v>
      </c>
      <c r="R116" s="23" t="s">
        <v>35</v>
      </c>
      <c r="S116" s="149">
        <f>INDEX('WEG Motor'!$B$3:$AZ$55,
       MATCH(Q116,'WEG Motor'!$A$3:$A$55,0),
       MATCH(R116,'WEG Motor'!$B$2:$AZ$2,0))%</f>
        <v>0.93900000000000006</v>
      </c>
      <c r="T116" s="149">
        <v>0.92</v>
      </c>
      <c r="U116" s="149">
        <v>0.85199999999999998</v>
      </c>
      <c r="V116" s="150">
        <v>4.1619999999999999</v>
      </c>
      <c r="W116" s="151">
        <f>ROUND(((($BT$6*$BW$5*(C115*0.001)*D116)/1000)/U116), 2)</f>
        <v>29.01</v>
      </c>
      <c r="X116" s="23">
        <f t="shared" ref="X116:X121" si="160">ROUND((W116/S116),2)</f>
        <v>30.89</v>
      </c>
      <c r="Y116" s="238">
        <f t="shared" si="103"/>
        <v>33.58</v>
      </c>
      <c r="Z116" s="212"/>
      <c r="AA116" s="217"/>
      <c r="AB116" s="24"/>
      <c r="AC116" s="24"/>
      <c r="AD116" s="152" t="e">
        <f>INDEX('WEG Motor'!$B$3:$AZ$55,
       MATCH(AB116,'WEG Motor'!$A$3:$A$55,0),
       MATCH(AC116,'WEG Motor'!$B$2:$AZ$2,0))%</f>
        <v>#N/A</v>
      </c>
      <c r="AE116" s="152">
        <v>0.92</v>
      </c>
      <c r="AF116" s="152"/>
      <c r="AG116" s="153"/>
      <c r="AH116" s="154" t="e">
        <f>ROUND(((($BT$6*$BW$5*(C115*0.001)*D116)/1000)/AF116), 2)</f>
        <v>#DIV/0!</v>
      </c>
      <c r="AI116" s="24" t="e">
        <f t="shared" ref="AI116:AI121" si="161">ROUND((AH116/AD116),2)</f>
        <v>#DIV/0!</v>
      </c>
      <c r="AJ116" s="239" t="e">
        <f t="shared" si="105"/>
        <v>#DIV/0!</v>
      </c>
      <c r="AK116" s="218"/>
      <c r="AL116" s="223"/>
      <c r="AM116" s="25"/>
      <c r="AN116" s="25"/>
      <c r="AO116" s="155" t="e">
        <f>INDEX('WEG Motor'!$B$3:$AZ$55,
       MATCH(AM116,'WEG Motor'!$A$3:$A$55,0),
       MATCH(AN116,'WEG Motor'!$B$2:$AZ$2,0))%</f>
        <v>#N/A</v>
      </c>
      <c r="AP116" s="155">
        <v>0.92</v>
      </c>
      <c r="AQ116" s="155"/>
      <c r="AR116" s="156"/>
      <c r="AS116" s="157" t="e">
        <f>ROUND(((($BT$6*$BW$5*(C115*0.001)*D116)/1000)/AQ116), 2)</f>
        <v>#DIV/0!</v>
      </c>
      <c r="AT116" s="25" t="e">
        <f t="shared" ref="AT116:AT121" si="162">ROUND((AS116/AO116),2)</f>
        <v>#DIV/0!</v>
      </c>
      <c r="AU116" s="240" t="e">
        <f t="shared" si="107"/>
        <v>#DIV/0!</v>
      </c>
      <c r="AV116" s="224"/>
      <c r="AW116" s="229"/>
      <c r="AX116" s="12"/>
      <c r="AY116" s="12"/>
      <c r="AZ116" s="158" t="e">
        <f>INDEX('WEG Motor'!$B$3:$AZ$55,
       MATCH(AX116,'WEG Motor'!$A$3:$A$55,0),
       MATCH(AY116,'WEG Motor'!$B$2:$AZ$2,0))%</f>
        <v>#N/A</v>
      </c>
      <c r="BA116" s="158">
        <v>0.92</v>
      </c>
      <c r="BB116" s="158"/>
      <c r="BC116" s="159"/>
      <c r="BD116" s="160" t="e">
        <f>ROUND(((($BT$6*$BW$5*(C115*0.001)*D116)/1000)/BB116), 2)</f>
        <v>#DIV/0!</v>
      </c>
      <c r="BE116" s="12" t="e">
        <f t="shared" ref="BE116:BE121" si="163">ROUND((BD116/AZ116),2)</f>
        <v>#DIV/0!</v>
      </c>
      <c r="BF116" s="241" t="e">
        <f t="shared" si="109"/>
        <v>#DIV/0!</v>
      </c>
      <c r="BG116" s="230"/>
      <c r="BH116" s="234"/>
      <c r="BI116" s="22"/>
      <c r="BJ116" s="22"/>
      <c r="BK116" s="161" t="e">
        <f>INDEX('WEG Motor'!$B$3:$AZ$55,
       MATCH(BI116,'WEG Motor'!$A$3:$A$55,0),
       MATCH(BJ116,'WEG Motor'!$B$2:$AZ$2,0))%</f>
        <v>#N/A</v>
      </c>
      <c r="BL116" s="161">
        <v>0.92</v>
      </c>
      <c r="BM116" s="161"/>
      <c r="BN116" s="162"/>
      <c r="BO116" s="163" t="e">
        <f>ROUND(((($BT$6*$BW$5*(C115*0.001)*D116)/1000)/BM116), 2)</f>
        <v>#DIV/0!</v>
      </c>
      <c r="BP116" s="22" t="e">
        <f t="shared" ref="BP116:BP121" si="164">ROUND((BO116/BK116),2)</f>
        <v>#DIV/0!</v>
      </c>
      <c r="BQ116" s="242" t="e">
        <f t="shared" ref="BQ116:BQ121" si="165">ROUND((BP116/BL116), 2)</f>
        <v>#DIV/0!</v>
      </c>
      <c r="BR116" s="193"/>
    </row>
    <row r="117" spans="1:70" x14ac:dyDescent="0.3">
      <c r="A117" s="309"/>
      <c r="B117" s="309"/>
      <c r="C117" s="312"/>
      <c r="D117" s="164">
        <v>25</v>
      </c>
      <c r="E117" s="166"/>
      <c r="F117" s="146"/>
      <c r="G117" s="146"/>
      <c r="H117" s="147" t="e">
        <f>INDEX('WEG Motor'!$B$3:$AZ$55,
       MATCH(F117,'WEG Motor'!$A$3:$A$55,0),
       MATCH(G117,'WEG Motor'!$B$2:$AZ$2,0))%</f>
        <v>#N/A</v>
      </c>
      <c r="I117" s="147">
        <v>0.92</v>
      </c>
      <c r="J117" s="283"/>
      <c r="K117" s="148"/>
      <c r="L117" s="286" t="e">
        <f>ROUND(((($BT$6*$BW$5*(C115*0.001)*D117)/1000)/J117), 2)</f>
        <v>#DIV/0!</v>
      </c>
      <c r="M117" s="146" t="e">
        <f t="shared" si="159"/>
        <v>#DIV/0!</v>
      </c>
      <c r="N117" s="237" t="e">
        <f t="shared" si="101"/>
        <v>#DIV/0!</v>
      </c>
      <c r="O117" s="167"/>
      <c r="P117" s="211" t="s">
        <v>64</v>
      </c>
      <c r="Q117" s="23">
        <v>45</v>
      </c>
      <c r="R117" s="23" t="s">
        <v>35</v>
      </c>
      <c r="S117" s="149">
        <f>INDEX('WEG Motor'!$B$3:$AZ$55,
       MATCH(Q117,'WEG Motor'!$A$3:$A$55,0),
       MATCH(R117,'WEG Motor'!$B$2:$AZ$2,0))%</f>
        <v>0.94200000000000006</v>
      </c>
      <c r="T117" s="149">
        <v>0.92</v>
      </c>
      <c r="U117" s="149">
        <v>0.87260000000000004</v>
      </c>
      <c r="V117" s="150">
        <v>4.1619999999999999</v>
      </c>
      <c r="W117" s="151">
        <f>ROUND(((($BT$6*$BW$5*(C115*0.001)*D117)/1000)/U117), 2)</f>
        <v>35.409999999999997</v>
      </c>
      <c r="X117" s="23">
        <f t="shared" si="160"/>
        <v>37.590000000000003</v>
      </c>
      <c r="Y117" s="238">
        <f t="shared" si="103"/>
        <v>40.86</v>
      </c>
      <c r="Z117" s="212"/>
      <c r="AA117" s="217"/>
      <c r="AB117" s="24"/>
      <c r="AC117" s="24"/>
      <c r="AD117" s="152" t="e">
        <f>INDEX('WEG Motor'!$B$3:$AZ$55,
       MATCH(AB117,'WEG Motor'!$A$3:$A$55,0),
       MATCH(AC117,'WEG Motor'!$B$2:$AZ$2,0))%</f>
        <v>#N/A</v>
      </c>
      <c r="AE117" s="152">
        <v>0.92</v>
      </c>
      <c r="AF117" s="152"/>
      <c r="AG117" s="153"/>
      <c r="AH117" s="154" t="e">
        <f>ROUND(((($BT$6*$BW$5*(C115*0.001)*D117)/1000)/AF117), 2)</f>
        <v>#DIV/0!</v>
      </c>
      <c r="AI117" s="24" t="e">
        <f t="shared" si="161"/>
        <v>#DIV/0!</v>
      </c>
      <c r="AJ117" s="239" t="e">
        <f t="shared" si="105"/>
        <v>#DIV/0!</v>
      </c>
      <c r="AK117" s="218"/>
      <c r="AL117" s="223"/>
      <c r="AM117" s="25"/>
      <c r="AN117" s="25"/>
      <c r="AO117" s="155" t="e">
        <f>INDEX('WEG Motor'!$B$3:$AZ$55,
       MATCH(AM117,'WEG Motor'!$A$3:$A$55,0),
       MATCH(AN117,'WEG Motor'!$B$2:$AZ$2,0))%</f>
        <v>#N/A</v>
      </c>
      <c r="AP117" s="155">
        <v>0.92</v>
      </c>
      <c r="AQ117" s="155"/>
      <c r="AR117" s="156"/>
      <c r="AS117" s="157" t="e">
        <f>ROUND(((($BT$6*$BW$5*(C115*0.001)*D117)/1000)/AQ117), 2)</f>
        <v>#DIV/0!</v>
      </c>
      <c r="AT117" s="25" t="e">
        <f t="shared" si="162"/>
        <v>#DIV/0!</v>
      </c>
      <c r="AU117" s="240" t="e">
        <f t="shared" si="107"/>
        <v>#DIV/0!</v>
      </c>
      <c r="AV117" s="224"/>
      <c r="AW117" s="229"/>
      <c r="AX117" s="12"/>
      <c r="AY117" s="12"/>
      <c r="AZ117" s="158" t="e">
        <f>INDEX('WEG Motor'!$B$3:$AZ$55,
       MATCH(AX117,'WEG Motor'!$A$3:$A$55,0),
       MATCH(AY117,'WEG Motor'!$B$2:$AZ$2,0))%</f>
        <v>#N/A</v>
      </c>
      <c r="BA117" s="158">
        <v>0.92</v>
      </c>
      <c r="BB117" s="158"/>
      <c r="BC117" s="159"/>
      <c r="BD117" s="160" t="e">
        <f>ROUND(((($BT$6*$BW$5*(C115*0.001)*D117)/1000)/BB117), 2)</f>
        <v>#DIV/0!</v>
      </c>
      <c r="BE117" s="12" t="e">
        <f t="shared" si="163"/>
        <v>#DIV/0!</v>
      </c>
      <c r="BF117" s="241" t="e">
        <f t="shared" si="109"/>
        <v>#DIV/0!</v>
      </c>
      <c r="BG117" s="230"/>
      <c r="BH117" s="234"/>
      <c r="BI117" s="22"/>
      <c r="BJ117" s="22"/>
      <c r="BK117" s="161" t="e">
        <f>INDEX('WEG Motor'!$B$3:$AZ$55,
       MATCH(BI117,'WEG Motor'!$A$3:$A$55,0),
       MATCH(BJ117,'WEG Motor'!$B$2:$AZ$2,0))%</f>
        <v>#N/A</v>
      </c>
      <c r="BL117" s="161">
        <v>0.92</v>
      </c>
      <c r="BM117" s="161"/>
      <c r="BN117" s="162"/>
      <c r="BO117" s="163" t="e">
        <f>ROUND(((($BT$6*$BW$5*(C115*0.001)*D117)/1000)/BM117), 2)</f>
        <v>#DIV/0!</v>
      </c>
      <c r="BP117" s="22" t="e">
        <f t="shared" si="164"/>
        <v>#DIV/0!</v>
      </c>
      <c r="BQ117" s="242" t="e">
        <f t="shared" si="165"/>
        <v>#DIV/0!</v>
      </c>
      <c r="BR117" s="193"/>
    </row>
    <row r="118" spans="1:70" x14ac:dyDescent="0.3">
      <c r="A118" s="309"/>
      <c r="B118" s="309"/>
      <c r="C118" s="312"/>
      <c r="D118" s="164">
        <v>30</v>
      </c>
      <c r="E118" s="166"/>
      <c r="F118" s="146"/>
      <c r="G118" s="146"/>
      <c r="H118" s="147" t="e">
        <f>INDEX('WEG Motor'!$B$3:$AZ$55,
       MATCH(F118,'WEG Motor'!$A$3:$A$55,0),
       MATCH(G118,'WEG Motor'!$B$2:$AZ$2,0))%</f>
        <v>#N/A</v>
      </c>
      <c r="I118" s="147">
        <v>0.92</v>
      </c>
      <c r="J118" s="283"/>
      <c r="K118" s="148"/>
      <c r="L118" s="286" t="e">
        <f>ROUND(((($BT$6*$BW$5*(C115*0.001)*D118)/1000)/J118), 2)</f>
        <v>#DIV/0!</v>
      </c>
      <c r="M118" s="146" t="e">
        <f t="shared" si="159"/>
        <v>#DIV/0!</v>
      </c>
      <c r="N118" s="237" t="e">
        <f t="shared" si="101"/>
        <v>#DIV/0!</v>
      </c>
      <c r="O118" s="167"/>
      <c r="P118" s="211" t="s">
        <v>64</v>
      </c>
      <c r="Q118" s="23">
        <v>45</v>
      </c>
      <c r="R118" s="23" t="s">
        <v>35</v>
      </c>
      <c r="S118" s="149">
        <f>INDEX('WEG Motor'!$B$3:$AZ$55,
       MATCH(Q118,'WEG Motor'!$A$3:$A$55,0),
       MATCH(R118,'WEG Motor'!$B$2:$AZ$2,0))%</f>
        <v>0.94200000000000006</v>
      </c>
      <c r="T118" s="149">
        <v>0.92</v>
      </c>
      <c r="U118" s="149">
        <v>0.87849999999999995</v>
      </c>
      <c r="V118" s="150">
        <v>4.1619999999999999</v>
      </c>
      <c r="W118" s="151">
        <f>ROUND(((($BT$6*$BW$5*(C115*0.001)*D118)/1000)/U118), 2)</f>
        <v>42.2</v>
      </c>
      <c r="X118" s="23">
        <f t="shared" si="160"/>
        <v>44.8</v>
      </c>
      <c r="Y118" s="238">
        <f t="shared" si="103"/>
        <v>48.7</v>
      </c>
      <c r="Z118" s="212"/>
      <c r="AA118" s="217"/>
      <c r="AB118" s="24"/>
      <c r="AC118" s="24"/>
      <c r="AD118" s="152" t="e">
        <f>INDEX('WEG Motor'!$B$3:$AZ$55,
       MATCH(AB118,'WEG Motor'!$A$3:$A$55,0),
       MATCH(AC118,'WEG Motor'!$B$2:$AZ$2,0))%</f>
        <v>#N/A</v>
      </c>
      <c r="AE118" s="152">
        <v>0.92</v>
      </c>
      <c r="AF118" s="152"/>
      <c r="AG118" s="153"/>
      <c r="AH118" s="154" t="e">
        <f>ROUND(((($BT$6*$BW$5*(C115*0.001)*D118)/1000)/AF118), 2)</f>
        <v>#DIV/0!</v>
      </c>
      <c r="AI118" s="24" t="e">
        <f t="shared" si="161"/>
        <v>#DIV/0!</v>
      </c>
      <c r="AJ118" s="239" t="e">
        <f t="shared" si="105"/>
        <v>#DIV/0!</v>
      </c>
      <c r="AK118" s="218"/>
      <c r="AL118" s="223"/>
      <c r="AM118" s="25"/>
      <c r="AN118" s="25"/>
      <c r="AO118" s="155" t="e">
        <f>INDEX('WEG Motor'!$B$3:$AZ$55,
       MATCH(AM118,'WEG Motor'!$A$3:$A$55,0),
       MATCH(AN118,'WEG Motor'!$B$2:$AZ$2,0))%</f>
        <v>#N/A</v>
      </c>
      <c r="AP118" s="155">
        <v>0.92</v>
      </c>
      <c r="AQ118" s="155"/>
      <c r="AR118" s="156"/>
      <c r="AS118" s="157" t="e">
        <f>ROUND(((($BT$6*$BW$5*(C115*0.001)*D118)/1000)/AQ118), 2)</f>
        <v>#DIV/0!</v>
      </c>
      <c r="AT118" s="25" t="e">
        <f t="shared" si="162"/>
        <v>#DIV/0!</v>
      </c>
      <c r="AU118" s="240" t="e">
        <f t="shared" si="107"/>
        <v>#DIV/0!</v>
      </c>
      <c r="AV118" s="224"/>
      <c r="AW118" s="229"/>
      <c r="AX118" s="12"/>
      <c r="AY118" s="12"/>
      <c r="AZ118" s="158" t="e">
        <f>INDEX('WEG Motor'!$B$3:$AZ$55,
       MATCH(AX118,'WEG Motor'!$A$3:$A$55,0),
       MATCH(AY118,'WEG Motor'!$B$2:$AZ$2,0))%</f>
        <v>#N/A</v>
      </c>
      <c r="BA118" s="158">
        <v>0.92</v>
      </c>
      <c r="BB118" s="158"/>
      <c r="BC118" s="159"/>
      <c r="BD118" s="160" t="e">
        <f>ROUND(((($BT$6*$BW$5*(C115*0.001)*D118)/1000)/BB118), 2)</f>
        <v>#DIV/0!</v>
      </c>
      <c r="BE118" s="12" t="e">
        <f t="shared" si="163"/>
        <v>#DIV/0!</v>
      </c>
      <c r="BF118" s="241" t="e">
        <f t="shared" si="109"/>
        <v>#DIV/0!</v>
      </c>
      <c r="BG118" s="230"/>
      <c r="BH118" s="234"/>
      <c r="BI118" s="22"/>
      <c r="BJ118" s="22"/>
      <c r="BK118" s="161" t="e">
        <f>INDEX('WEG Motor'!$B$3:$AZ$55,
       MATCH(BI118,'WEG Motor'!$A$3:$A$55,0),
       MATCH(BJ118,'WEG Motor'!$B$2:$AZ$2,0))%</f>
        <v>#N/A</v>
      </c>
      <c r="BL118" s="161">
        <v>0.92</v>
      </c>
      <c r="BM118" s="161"/>
      <c r="BN118" s="162"/>
      <c r="BO118" s="163" t="e">
        <f>ROUND(((($BT$6*$BW$5*(C115*0.001)*D118)/1000)/BM118), 2)</f>
        <v>#DIV/0!</v>
      </c>
      <c r="BP118" s="22" t="e">
        <f t="shared" si="164"/>
        <v>#DIV/0!</v>
      </c>
      <c r="BQ118" s="242" t="e">
        <f t="shared" si="165"/>
        <v>#DIV/0!</v>
      </c>
      <c r="BR118" s="193"/>
    </row>
    <row r="119" spans="1:70" ht="43.2" x14ac:dyDescent="0.3">
      <c r="A119" s="309"/>
      <c r="B119" s="309"/>
      <c r="C119" s="312"/>
      <c r="D119" s="164">
        <v>35</v>
      </c>
      <c r="E119" s="166"/>
      <c r="F119" s="146"/>
      <c r="G119" s="146"/>
      <c r="H119" s="147" t="e">
        <f>INDEX('WEG Motor'!$B$3:$AZ$55,
       MATCH(F119,'WEG Motor'!$A$3:$A$55,0),
       MATCH(G119,'WEG Motor'!$B$2:$AZ$2,0))%</f>
        <v>#N/A</v>
      </c>
      <c r="I119" s="147">
        <v>0.92</v>
      </c>
      <c r="J119" s="283"/>
      <c r="K119" s="148"/>
      <c r="L119" s="286" t="e">
        <f t="shared" ref="L119" si="166">ROUND(((($BT$6*$BW$5*(C119*0.001)*D119)/1000)/J119), 2)</f>
        <v>#DIV/0!</v>
      </c>
      <c r="M119" s="146" t="e">
        <f t="shared" si="159"/>
        <v>#DIV/0!</v>
      </c>
      <c r="N119" s="237" t="e">
        <f t="shared" si="101"/>
        <v>#DIV/0!</v>
      </c>
      <c r="O119" s="167"/>
      <c r="P119" s="339" t="s">
        <v>146</v>
      </c>
      <c r="Q119" s="88">
        <v>55</v>
      </c>
      <c r="R119" s="88" t="s">
        <v>35</v>
      </c>
      <c r="S119" s="340">
        <f>INDEX('WEG Motor'!$B$3:$AZ$55,
       MATCH(Q119,'WEG Motor'!$A$3:$A$55,0),
       MATCH(R119,'WEG Motor'!$B$2:$AZ$2,0))%</f>
        <v>0.94599999999999995</v>
      </c>
      <c r="T119" s="340">
        <v>0.92</v>
      </c>
      <c r="U119" s="340">
        <v>0.83720000000000006</v>
      </c>
      <c r="V119" s="341">
        <v>3.0249999999999999</v>
      </c>
      <c r="W119" s="342">
        <f>ROUND(((($BT$6*$BW$5*(C115*0.001)*D119)/1000)/U119), 2)</f>
        <v>51.66</v>
      </c>
      <c r="X119" s="88">
        <f t="shared" si="160"/>
        <v>54.61</v>
      </c>
      <c r="Y119" s="343">
        <f t="shared" si="103"/>
        <v>59.36</v>
      </c>
      <c r="Z119" s="360" t="s">
        <v>162</v>
      </c>
      <c r="AA119" s="345"/>
      <c r="AB119" s="24"/>
      <c r="AC119" s="24"/>
      <c r="AD119" s="152" t="e">
        <f>INDEX('WEG Motor'!$B$3:$AZ$55,
       MATCH(AB119,'WEG Motor'!$A$3:$A$55,0),
       MATCH(AC119,'WEG Motor'!$B$2:$AZ$2,0))%</f>
        <v>#N/A</v>
      </c>
      <c r="AE119" s="152">
        <v>0.92</v>
      </c>
      <c r="AF119" s="152"/>
      <c r="AG119" s="153"/>
      <c r="AH119" s="154" t="e">
        <f>ROUND(((($BT$6*$BW$5*(C115*0.001)*D119)/1000)/AF119), 2)</f>
        <v>#DIV/0!</v>
      </c>
      <c r="AI119" s="24" t="e">
        <f t="shared" si="161"/>
        <v>#DIV/0!</v>
      </c>
      <c r="AJ119" s="239" t="e">
        <f t="shared" si="105"/>
        <v>#DIV/0!</v>
      </c>
      <c r="AK119" s="218"/>
      <c r="AL119" s="223"/>
      <c r="AM119" s="25"/>
      <c r="AN119" s="25"/>
      <c r="AO119" s="155" t="e">
        <f>INDEX('WEG Motor'!$B$3:$AZ$55,
       MATCH(AM119,'WEG Motor'!$A$3:$A$55,0),
       MATCH(AN119,'WEG Motor'!$B$2:$AZ$2,0))%</f>
        <v>#N/A</v>
      </c>
      <c r="AP119" s="155">
        <v>0.92</v>
      </c>
      <c r="AQ119" s="155"/>
      <c r="AR119" s="156"/>
      <c r="AS119" s="157" t="e">
        <f>ROUND(((($BT$6*$BW$5*(C115*0.001)*D119)/1000)/AQ119), 2)</f>
        <v>#DIV/0!</v>
      </c>
      <c r="AT119" s="25" t="e">
        <f t="shared" si="162"/>
        <v>#DIV/0!</v>
      </c>
      <c r="AU119" s="240" t="e">
        <f t="shared" si="107"/>
        <v>#DIV/0!</v>
      </c>
      <c r="AV119" s="224"/>
      <c r="AW119" s="229"/>
      <c r="AX119" s="12"/>
      <c r="AY119" s="12"/>
      <c r="AZ119" s="158" t="e">
        <f>INDEX('WEG Motor'!$B$3:$AZ$55,
       MATCH(AX119,'WEG Motor'!$A$3:$A$55,0),
       MATCH(AY119,'WEG Motor'!$B$2:$AZ$2,0))%</f>
        <v>#N/A</v>
      </c>
      <c r="BA119" s="158">
        <v>0.92</v>
      </c>
      <c r="BB119" s="158"/>
      <c r="BC119" s="159"/>
      <c r="BD119" s="160" t="e">
        <f>ROUND(((($BT$6*$BW$5*(C115*0.001)*D119)/1000)/BB119), 2)</f>
        <v>#DIV/0!</v>
      </c>
      <c r="BE119" s="12" t="e">
        <f t="shared" si="163"/>
        <v>#DIV/0!</v>
      </c>
      <c r="BF119" s="241" t="e">
        <f t="shared" si="109"/>
        <v>#DIV/0!</v>
      </c>
      <c r="BG119" s="230"/>
      <c r="BH119" s="234"/>
      <c r="BI119" s="22"/>
      <c r="BJ119" s="22"/>
      <c r="BK119" s="161" t="e">
        <f>INDEX('WEG Motor'!$B$3:$AZ$55,
       MATCH(BI119,'WEG Motor'!$A$3:$A$55,0),
       MATCH(BJ119,'WEG Motor'!$B$2:$AZ$2,0))%</f>
        <v>#N/A</v>
      </c>
      <c r="BL119" s="161">
        <v>0.92</v>
      </c>
      <c r="BM119" s="161"/>
      <c r="BN119" s="162"/>
      <c r="BO119" s="163" t="e">
        <f>ROUND(((($BT$6*$BW$5*(C115*0.001)*D119)/1000)/BM119), 2)</f>
        <v>#DIV/0!</v>
      </c>
      <c r="BP119" s="22" t="e">
        <f t="shared" si="164"/>
        <v>#DIV/0!</v>
      </c>
      <c r="BQ119" s="242" t="e">
        <f t="shared" si="165"/>
        <v>#DIV/0!</v>
      </c>
      <c r="BR119" s="193"/>
    </row>
    <row r="120" spans="1:70" x14ac:dyDescent="0.3">
      <c r="A120" s="309"/>
      <c r="B120" s="309"/>
      <c r="C120" s="312"/>
      <c r="D120" s="164">
        <v>40</v>
      </c>
      <c r="E120" s="166"/>
      <c r="F120" s="146"/>
      <c r="G120" s="146"/>
      <c r="H120" s="147" t="e">
        <f>INDEX('WEG Motor'!$B$3:$AZ$55,
       MATCH(F120,'WEG Motor'!$A$3:$A$55,0),
       MATCH(G120,'WEG Motor'!$B$2:$AZ$2,0))%</f>
        <v>#N/A</v>
      </c>
      <c r="I120" s="147">
        <v>0.92</v>
      </c>
      <c r="J120" s="283"/>
      <c r="K120" s="148"/>
      <c r="L120" s="286" t="e">
        <f>ROUND(((($BT$6*$BW$5*(C115*0.001)*D120)/1000)/J120), 2)</f>
        <v>#DIV/0!</v>
      </c>
      <c r="M120" s="146" t="e">
        <f t="shared" si="159"/>
        <v>#DIV/0!</v>
      </c>
      <c r="N120" s="237" t="e">
        <f t="shared" si="101"/>
        <v>#DIV/0!</v>
      </c>
      <c r="O120" s="167"/>
      <c r="P120" s="211" t="s">
        <v>148</v>
      </c>
      <c r="Q120" s="23">
        <v>75</v>
      </c>
      <c r="R120" s="23" t="s">
        <v>35</v>
      </c>
      <c r="S120" s="149">
        <f>INDEX('WEG Motor'!$B$3:$AZ$55,
       MATCH(Q120,'WEG Motor'!$A$3:$A$55,0),
       MATCH(R120,'WEG Motor'!$B$2:$AZ$2,0))%</f>
        <v>0.95</v>
      </c>
      <c r="T120" s="149">
        <v>0.92</v>
      </c>
      <c r="U120" s="149">
        <v>0.85029999999999994</v>
      </c>
      <c r="V120" s="150">
        <v>3.0249999999999999</v>
      </c>
      <c r="W120" s="151">
        <f>ROUND(((($BT$6*$BW$5*(C115*0.001)*D120)/1000)/U120), 2)</f>
        <v>58.13</v>
      </c>
      <c r="X120" s="23">
        <f t="shared" si="160"/>
        <v>61.19</v>
      </c>
      <c r="Y120" s="238">
        <f t="shared" si="103"/>
        <v>66.510000000000005</v>
      </c>
      <c r="Z120" s="212"/>
      <c r="AA120" s="217"/>
      <c r="AB120" s="24"/>
      <c r="AC120" s="24"/>
      <c r="AD120" s="152" t="e">
        <f>INDEX('WEG Motor'!$B$3:$AZ$55,
       MATCH(AB120,'WEG Motor'!$A$3:$A$55,0),
       MATCH(AC120,'WEG Motor'!$B$2:$AZ$2,0))%</f>
        <v>#N/A</v>
      </c>
      <c r="AE120" s="152">
        <v>0.92</v>
      </c>
      <c r="AF120" s="152"/>
      <c r="AG120" s="153"/>
      <c r="AH120" s="154" t="e">
        <f>ROUND(((($BT$6*$BW$5*(C115*0.001)*D120)/1000)/AF120), 2)</f>
        <v>#DIV/0!</v>
      </c>
      <c r="AI120" s="24" t="e">
        <f t="shared" si="161"/>
        <v>#DIV/0!</v>
      </c>
      <c r="AJ120" s="239" t="e">
        <f t="shared" si="105"/>
        <v>#DIV/0!</v>
      </c>
      <c r="AK120" s="218"/>
      <c r="AL120" s="223"/>
      <c r="AM120" s="25"/>
      <c r="AN120" s="25"/>
      <c r="AO120" s="155" t="e">
        <f>INDEX('WEG Motor'!$B$3:$AZ$55,
       MATCH(AM120,'WEG Motor'!$A$3:$A$55,0),
       MATCH(AN120,'WEG Motor'!$B$2:$AZ$2,0))%</f>
        <v>#N/A</v>
      </c>
      <c r="AP120" s="155">
        <v>0.92</v>
      </c>
      <c r="AQ120" s="155"/>
      <c r="AR120" s="156"/>
      <c r="AS120" s="157" t="e">
        <f>ROUND(((($BT$6*$BW$5*(C115*0.001)*D120)/1000)/AQ120), 2)</f>
        <v>#DIV/0!</v>
      </c>
      <c r="AT120" s="25" t="e">
        <f t="shared" si="162"/>
        <v>#DIV/0!</v>
      </c>
      <c r="AU120" s="240" t="e">
        <f t="shared" si="107"/>
        <v>#DIV/0!</v>
      </c>
      <c r="AV120" s="224"/>
      <c r="AW120" s="229"/>
      <c r="AX120" s="12"/>
      <c r="AY120" s="12"/>
      <c r="AZ120" s="158" t="e">
        <f>INDEX('WEG Motor'!$B$3:$AZ$55,
       MATCH(AX120,'WEG Motor'!$A$3:$A$55,0),
       MATCH(AY120,'WEG Motor'!$B$2:$AZ$2,0))%</f>
        <v>#N/A</v>
      </c>
      <c r="BA120" s="158">
        <v>0.92</v>
      </c>
      <c r="BB120" s="158"/>
      <c r="BC120" s="159"/>
      <c r="BD120" s="160" t="e">
        <f>ROUND(((($BT$6*$BW$5*(C115*0.001)*D120)/1000)/BB120), 2)</f>
        <v>#DIV/0!</v>
      </c>
      <c r="BE120" s="12" t="e">
        <f t="shared" si="163"/>
        <v>#DIV/0!</v>
      </c>
      <c r="BF120" s="241" t="e">
        <f t="shared" si="109"/>
        <v>#DIV/0!</v>
      </c>
      <c r="BG120" s="230"/>
      <c r="BH120" s="234"/>
      <c r="BI120" s="22"/>
      <c r="BJ120" s="22"/>
      <c r="BK120" s="161" t="e">
        <f>INDEX('WEG Motor'!$B$3:$AZ$55,
       MATCH(BI120,'WEG Motor'!$A$3:$A$55,0),
       MATCH(BJ120,'WEG Motor'!$B$2:$AZ$2,0))%</f>
        <v>#N/A</v>
      </c>
      <c r="BL120" s="161">
        <v>0.92</v>
      </c>
      <c r="BM120" s="161"/>
      <c r="BN120" s="162"/>
      <c r="BO120" s="163" t="e">
        <f>ROUND(((($BT$6*$BW$5*(C115*0.001)*D120)/1000)/BM120), 2)</f>
        <v>#DIV/0!</v>
      </c>
      <c r="BP120" s="22" t="e">
        <f t="shared" si="164"/>
        <v>#DIV/0!</v>
      </c>
      <c r="BQ120" s="242" t="e">
        <f t="shared" si="165"/>
        <v>#DIV/0!</v>
      </c>
      <c r="BR120" s="193"/>
    </row>
    <row r="121" spans="1:70" ht="15" thickBot="1" x14ac:dyDescent="0.35">
      <c r="A121" s="310"/>
      <c r="B121" s="310"/>
      <c r="C121" s="313"/>
      <c r="D121" s="165">
        <v>45</v>
      </c>
      <c r="E121" s="168"/>
      <c r="F121" s="169"/>
      <c r="G121" s="169"/>
      <c r="H121" s="170" t="e">
        <f>INDEX('WEG Motor'!$B$3:$AZ$55,
       MATCH(F121,'WEG Motor'!$A$3:$A$55,0),
       MATCH(G121,'WEG Motor'!$B$2:$AZ$2,0))%</f>
        <v>#N/A</v>
      </c>
      <c r="I121" s="170">
        <v>0.92</v>
      </c>
      <c r="J121" s="284"/>
      <c r="K121" s="171"/>
      <c r="L121" s="287" t="e">
        <f>ROUND(((($BT$6*$BW$5*(C115*0.001)*D121)/1000)/J121), 2)</f>
        <v>#DIV/0!</v>
      </c>
      <c r="M121" s="169" t="e">
        <f t="shared" si="159"/>
        <v>#DIV/0!</v>
      </c>
      <c r="N121" s="247" t="e">
        <f t="shared" si="101"/>
        <v>#DIV/0!</v>
      </c>
      <c r="O121" s="172"/>
      <c r="P121" s="213" t="s">
        <v>148</v>
      </c>
      <c r="Q121" s="194">
        <v>75</v>
      </c>
      <c r="R121" s="194" t="s">
        <v>35</v>
      </c>
      <c r="S121" s="195">
        <f>INDEX('WEG Motor'!$B$3:$AZ$55,
       MATCH(Q121,'WEG Motor'!$A$3:$A$55,0),
       MATCH(R121,'WEG Motor'!$B$2:$AZ$2,0))%</f>
        <v>0.95</v>
      </c>
      <c r="T121" s="195">
        <v>0.92</v>
      </c>
      <c r="U121" s="195">
        <v>0.85680000000000001</v>
      </c>
      <c r="V121" s="196">
        <v>3.0249999999999999</v>
      </c>
      <c r="W121" s="140">
        <f>ROUND(((($BT$6*$BW$5*(C115*0.001)*D121)/1000)/U121), 2)</f>
        <v>64.900000000000006</v>
      </c>
      <c r="X121" s="194">
        <f t="shared" si="160"/>
        <v>68.319999999999993</v>
      </c>
      <c r="Y121" s="246">
        <f t="shared" si="103"/>
        <v>74.260000000000005</v>
      </c>
      <c r="Z121" s="214"/>
      <c r="AA121" s="219"/>
      <c r="AB121" s="197"/>
      <c r="AC121" s="197"/>
      <c r="AD121" s="198" t="e">
        <f>INDEX('WEG Motor'!$B$3:$AZ$55,
       MATCH(AB121,'WEG Motor'!$A$3:$A$55,0),
       MATCH(AC121,'WEG Motor'!$B$2:$AZ$2,0))%</f>
        <v>#N/A</v>
      </c>
      <c r="AE121" s="198">
        <v>0.92</v>
      </c>
      <c r="AF121" s="198"/>
      <c r="AG121" s="199"/>
      <c r="AH121" s="141" t="e">
        <f>ROUND(((($BT$6*$BW$5*(C115*0.001)*D121)/1000)/AF121), 2)</f>
        <v>#DIV/0!</v>
      </c>
      <c r="AI121" s="197" t="e">
        <f t="shared" si="161"/>
        <v>#DIV/0!</v>
      </c>
      <c r="AJ121" s="245" t="e">
        <f t="shared" si="105"/>
        <v>#DIV/0!</v>
      </c>
      <c r="AK121" s="220"/>
      <c r="AL121" s="225"/>
      <c r="AM121" s="200"/>
      <c r="AN121" s="200"/>
      <c r="AO121" s="201" t="e">
        <f>INDEX('WEG Motor'!$B$3:$AZ$55,
       MATCH(AM121,'WEG Motor'!$A$3:$A$55,0),
       MATCH(AN121,'WEG Motor'!$B$2:$AZ$2,0))%</f>
        <v>#N/A</v>
      </c>
      <c r="AP121" s="201">
        <v>0.92</v>
      </c>
      <c r="AQ121" s="201"/>
      <c r="AR121" s="202"/>
      <c r="AS121" s="142" t="e">
        <f>ROUND(((($BT$6*$BW$5*(C115*0.001)*D121)/1000)/AQ121), 2)</f>
        <v>#DIV/0!</v>
      </c>
      <c r="AT121" s="200" t="e">
        <f t="shared" si="162"/>
        <v>#DIV/0!</v>
      </c>
      <c r="AU121" s="244" t="e">
        <f t="shared" si="107"/>
        <v>#DIV/0!</v>
      </c>
      <c r="AV121" s="226"/>
      <c r="AW121" s="231"/>
      <c r="AX121" s="203"/>
      <c r="AY121" s="203"/>
      <c r="AZ121" s="204" t="e">
        <f>INDEX('WEG Motor'!$B$3:$AZ$55,
       MATCH(AX121,'WEG Motor'!$A$3:$A$55,0),
       MATCH(AY121,'WEG Motor'!$B$2:$AZ$2,0))%</f>
        <v>#N/A</v>
      </c>
      <c r="BA121" s="204">
        <v>0.92</v>
      </c>
      <c r="BB121" s="204"/>
      <c r="BC121" s="205"/>
      <c r="BD121" s="143" t="e">
        <f>ROUND(((($BT$6*$BW$5*(C115*0.001)*D121)/1000)/BB121), 2)</f>
        <v>#DIV/0!</v>
      </c>
      <c r="BE121" s="203" t="e">
        <f t="shared" si="163"/>
        <v>#DIV/0!</v>
      </c>
      <c r="BF121" s="243" t="e">
        <f t="shared" si="109"/>
        <v>#DIV/0!</v>
      </c>
      <c r="BG121" s="232"/>
      <c r="BH121" s="235"/>
      <c r="BI121" s="66"/>
      <c r="BJ121" s="66"/>
      <c r="BK121" s="206" t="e">
        <f>INDEX('WEG Motor'!$B$3:$AZ$55,
       MATCH(BI121,'WEG Motor'!$A$3:$A$55,0),
       MATCH(BJ121,'WEG Motor'!$B$2:$AZ$2,0))%</f>
        <v>#N/A</v>
      </c>
      <c r="BL121" s="206">
        <v>0.92</v>
      </c>
      <c r="BM121" s="206"/>
      <c r="BN121" s="207"/>
      <c r="BO121" s="144" t="e">
        <f>ROUND(((($BT$6*$BW$5*(C115*0.001)*D121)/1000)/BM121), 2)</f>
        <v>#DIV/0!</v>
      </c>
      <c r="BP121" s="292" t="e">
        <f t="shared" si="164"/>
        <v>#DIV/0!</v>
      </c>
      <c r="BQ121" s="293" t="e">
        <f t="shared" si="165"/>
        <v>#DIV/0!</v>
      </c>
      <c r="BR121" s="208"/>
    </row>
    <row r="122" spans="1:70" x14ac:dyDescent="0.3">
      <c r="A122" s="308">
        <v>17</v>
      </c>
      <c r="B122" s="308">
        <v>1100</v>
      </c>
      <c r="C122" s="311">
        <f>ROUND((B122 * $BW$7 * 1000) / ($BT$6 * $BW$3 * $BW$4), 0)</f>
        <v>132</v>
      </c>
      <c r="D122" s="145">
        <v>15</v>
      </c>
      <c r="E122" s="173"/>
      <c r="F122" s="53"/>
      <c r="G122" s="53"/>
      <c r="H122" s="174" t="e">
        <f>INDEX('WEG Motor'!$B$3:$AZ$55,
       MATCH(F122,'WEG Motor'!$A$3:$A$55,0),
       MATCH(G122,'WEG Motor'!$B$2:$AZ$2,0))%</f>
        <v>#N/A</v>
      </c>
      <c r="I122" s="174">
        <v>0.92</v>
      </c>
      <c r="J122" s="282"/>
      <c r="K122" s="175"/>
      <c r="L122" s="285" t="e">
        <f t="shared" ref="L122:L126" si="167">ROUND(((($BT$6*$BW$5*(C122*0.001)*D122)/1000)/J122), 2)</f>
        <v>#DIV/0!</v>
      </c>
      <c r="M122" s="53" t="e">
        <f>ROUND((L122/H122),2)</f>
        <v>#DIV/0!</v>
      </c>
      <c r="N122" s="236" t="e">
        <f t="shared" si="101"/>
        <v>#DIV/0!</v>
      </c>
      <c r="O122" s="176"/>
      <c r="P122" s="209"/>
      <c r="Q122" s="177"/>
      <c r="R122" s="177"/>
      <c r="S122" s="178" t="e">
        <f>INDEX('WEG Motor'!$B$3:$AZ$55,
       MATCH(Q122,'WEG Motor'!$A$3:$A$55,0),
       MATCH(R122,'WEG Motor'!$B$2:$AZ$2,0))%</f>
        <v>#N/A</v>
      </c>
      <c r="T122" s="178">
        <v>0.92</v>
      </c>
      <c r="U122" s="178"/>
      <c r="V122" s="179"/>
      <c r="W122" s="297" t="e">
        <f>ROUND(((($BT$6*$BW$5*(C122*0.001)*D122)/1000)/U122), 2)</f>
        <v>#DIV/0!</v>
      </c>
      <c r="X122" s="177" t="e">
        <f>ROUND((W122/S122),2)</f>
        <v>#DIV/0!</v>
      </c>
      <c r="Y122" s="276" t="e">
        <f t="shared" si="103"/>
        <v>#DIV/0!</v>
      </c>
      <c r="Z122" s="210"/>
      <c r="AA122" s="215"/>
      <c r="AB122" s="180"/>
      <c r="AC122" s="180"/>
      <c r="AD122" s="181" t="e">
        <f>INDEX('WEG Motor'!$B$3:$AZ$55,
       MATCH(AB122,'WEG Motor'!$A$3:$A$55,0),
       MATCH(AC122,'WEG Motor'!$B$2:$AZ$2,0))%</f>
        <v>#N/A</v>
      </c>
      <c r="AE122" s="181">
        <v>0.92</v>
      </c>
      <c r="AF122" s="181"/>
      <c r="AG122" s="182"/>
      <c r="AH122" s="296" t="e">
        <f>ROUND(((($BT$6*$BW$5*(C122*0.001)*D122)/1000)/AF122), 2)</f>
        <v>#DIV/0!</v>
      </c>
      <c r="AI122" s="180" t="e">
        <f>ROUND((AH122/AD122),2)</f>
        <v>#DIV/0!</v>
      </c>
      <c r="AJ122" s="277" t="e">
        <f t="shared" si="105"/>
        <v>#DIV/0!</v>
      </c>
      <c r="AK122" s="216"/>
      <c r="AL122" s="221"/>
      <c r="AM122" s="183"/>
      <c r="AN122" s="183"/>
      <c r="AO122" s="184" t="e">
        <f>INDEX('WEG Motor'!$B$3:$AZ$55,
       MATCH(AM122,'WEG Motor'!$A$3:$A$55,0),
       MATCH(AN122,'WEG Motor'!$B$2:$AZ$2,0))%</f>
        <v>#N/A</v>
      </c>
      <c r="AP122" s="184">
        <v>0.92</v>
      </c>
      <c r="AQ122" s="184"/>
      <c r="AR122" s="185"/>
      <c r="AS122" s="295" t="e">
        <f>ROUND(((($BT$6*$BW$5*(C122*0.001)*D122)/1000)/AQ122), 2)</f>
        <v>#DIV/0!</v>
      </c>
      <c r="AT122" s="183" t="e">
        <f>ROUND((AS122/AO122),2)</f>
        <v>#DIV/0!</v>
      </c>
      <c r="AU122" s="278" t="e">
        <f t="shared" si="107"/>
        <v>#DIV/0!</v>
      </c>
      <c r="AV122" s="222"/>
      <c r="AW122" s="227"/>
      <c r="AX122" s="186"/>
      <c r="AY122" s="186"/>
      <c r="AZ122" s="187" t="e">
        <f>INDEX('WEG Motor'!$B$3:$AZ$55,
       MATCH(AX122,'WEG Motor'!$A$3:$A$55,0),
       MATCH(AY122,'WEG Motor'!$B$2:$AZ$2,0))%</f>
        <v>#N/A</v>
      </c>
      <c r="BA122" s="187">
        <v>0.92</v>
      </c>
      <c r="BB122" s="187"/>
      <c r="BC122" s="188"/>
      <c r="BD122" s="294" t="e">
        <f>ROUND(((($BT$6*$BW$5*(C122*0.001)*D122)/1000)/BB122), 2)</f>
        <v>#DIV/0!</v>
      </c>
      <c r="BE122" s="186" t="e">
        <f>ROUND((BD122/AZ122),2)</f>
        <v>#DIV/0!</v>
      </c>
      <c r="BF122" s="279" t="e">
        <f t="shared" si="109"/>
        <v>#DIV/0!</v>
      </c>
      <c r="BG122" s="228"/>
      <c r="BH122" s="233"/>
      <c r="BI122" s="189"/>
      <c r="BJ122" s="189"/>
      <c r="BK122" s="190" t="e">
        <f>INDEX('WEG Motor'!$B$3:$AZ$55,
       MATCH(BI122,'WEG Motor'!$A$3:$A$55,0),
       MATCH(BJ122,'WEG Motor'!$B$2:$AZ$2,0))%</f>
        <v>#N/A</v>
      </c>
      <c r="BL122" s="190">
        <v>0.92</v>
      </c>
      <c r="BM122" s="190"/>
      <c r="BN122" s="191"/>
      <c r="BO122" s="289" t="e">
        <f>ROUND(((($BT$6*$BW$5*(C122*0.001)*D122)/1000)/BM122), 2)</f>
        <v>#DIV/0!</v>
      </c>
      <c r="BP122" s="290" t="e">
        <f>ROUND((BO122/BK122),2)</f>
        <v>#DIV/0!</v>
      </c>
      <c r="BQ122" s="291" t="e">
        <f>ROUND((BP122/BL122), 2)</f>
        <v>#DIV/0!</v>
      </c>
      <c r="BR122" s="192"/>
    </row>
    <row r="123" spans="1:70" ht="28.8" x14ac:dyDescent="0.3">
      <c r="A123" s="309"/>
      <c r="B123" s="309"/>
      <c r="C123" s="312"/>
      <c r="D123" s="164">
        <v>20</v>
      </c>
      <c r="E123" s="166"/>
      <c r="F123" s="146"/>
      <c r="G123" s="146"/>
      <c r="H123" s="147" t="e">
        <f>INDEX('WEG Motor'!$B$3:$AZ$55,
       MATCH(F123,'WEG Motor'!$A$3:$A$55,0),
       MATCH(G123,'WEG Motor'!$B$2:$AZ$2,0))%</f>
        <v>#N/A</v>
      </c>
      <c r="I123" s="147">
        <v>0.92</v>
      </c>
      <c r="J123" s="283"/>
      <c r="K123" s="148"/>
      <c r="L123" s="286" t="e">
        <f>ROUND(((($BT$6*$BW$5*(C122*0.001)*D123)/1000)/J123), 2)</f>
        <v>#DIV/0!</v>
      </c>
      <c r="M123" s="146" t="e">
        <f t="shared" ref="M123:M128" si="168">ROUND((L123/H123),2)</f>
        <v>#DIV/0!</v>
      </c>
      <c r="N123" s="237" t="e">
        <f t="shared" si="101"/>
        <v>#DIV/0!</v>
      </c>
      <c r="O123" s="167"/>
      <c r="P123" s="211"/>
      <c r="Q123" s="23"/>
      <c r="R123" s="23"/>
      <c r="S123" s="149" t="e">
        <f>INDEX('WEG Motor'!$B$3:$AZ$55,
       MATCH(Q123,'WEG Motor'!$A$3:$A$55,0),
       MATCH(R123,'WEG Motor'!$B$2:$AZ$2,0))%</f>
        <v>#N/A</v>
      </c>
      <c r="T123" s="149">
        <v>0.92</v>
      </c>
      <c r="U123" s="149"/>
      <c r="V123" s="150"/>
      <c r="W123" s="151" t="e">
        <f>ROUND(((($BT$6*$BW$5*(C122*0.001)*D123)/1000)/U123), 2)</f>
        <v>#DIV/0!</v>
      </c>
      <c r="X123" s="23" t="e">
        <f t="shared" ref="X123:X128" si="169">ROUND((W123/S123),2)</f>
        <v>#DIV/0!</v>
      </c>
      <c r="Y123" s="238" t="e">
        <f t="shared" si="103"/>
        <v>#DIV/0!</v>
      </c>
      <c r="Z123" s="212"/>
      <c r="AA123" s="217"/>
      <c r="AB123" s="24"/>
      <c r="AC123" s="24"/>
      <c r="AD123" s="152" t="e">
        <f>INDEX('WEG Motor'!$B$3:$AZ$55,
       MATCH(AB123,'WEG Motor'!$A$3:$A$55,0),
       MATCH(AC123,'WEG Motor'!$B$2:$AZ$2,0))%</f>
        <v>#N/A</v>
      </c>
      <c r="AE123" s="152">
        <v>0.92</v>
      </c>
      <c r="AF123" s="152"/>
      <c r="AG123" s="153"/>
      <c r="AH123" s="154" t="e">
        <f>ROUND(((($BT$6*$BW$5*(C122*0.001)*D123)/1000)/AF123), 2)</f>
        <v>#DIV/0!</v>
      </c>
      <c r="AI123" s="24" t="e">
        <f t="shared" ref="AI123:AI128" si="170">ROUND((AH123/AD123),2)</f>
        <v>#DIV/0!</v>
      </c>
      <c r="AJ123" s="239" t="e">
        <f t="shared" si="105"/>
        <v>#DIV/0!</v>
      </c>
      <c r="AK123" s="218"/>
      <c r="AL123" s="346" t="s">
        <v>62</v>
      </c>
      <c r="AM123" s="98">
        <v>37</v>
      </c>
      <c r="AN123" s="98" t="s">
        <v>35</v>
      </c>
      <c r="AO123" s="347">
        <f>INDEX('WEG Motor'!$B$3:$AZ$55,
       MATCH(AM123,'WEG Motor'!$A$3:$A$55,0),
       MATCH(AN123,'WEG Motor'!$B$2:$AZ$2,0))%</f>
        <v>0.93900000000000006</v>
      </c>
      <c r="AP123" s="347">
        <v>0.92</v>
      </c>
      <c r="AQ123" s="347">
        <v>0.83140000000000003</v>
      </c>
      <c r="AR123" s="348">
        <v>5.2939999999999996</v>
      </c>
      <c r="AS123" s="349">
        <f>ROUND(((($BT$6*$BW$5*(C122*0.001)*D123)/1000)/AQ123), 2)</f>
        <v>31.14</v>
      </c>
      <c r="AT123" s="98">
        <f t="shared" ref="AT123:AT128" si="171">ROUND((AS123/AO123),2)</f>
        <v>33.159999999999997</v>
      </c>
      <c r="AU123" s="350">
        <f t="shared" si="107"/>
        <v>36.04</v>
      </c>
      <c r="AV123" s="351" t="s">
        <v>156</v>
      </c>
      <c r="AW123" s="229"/>
      <c r="AX123" s="12"/>
      <c r="AY123" s="12"/>
      <c r="AZ123" s="158" t="e">
        <f>INDEX('WEG Motor'!$B$3:$AZ$55,
       MATCH(AX123,'WEG Motor'!$A$3:$A$55,0),
       MATCH(AY123,'WEG Motor'!$B$2:$AZ$2,0))%</f>
        <v>#N/A</v>
      </c>
      <c r="BA123" s="158">
        <v>0.92</v>
      </c>
      <c r="BB123" s="158"/>
      <c r="BC123" s="159"/>
      <c r="BD123" s="160" t="e">
        <f>ROUND(((($BT$6*$BW$5*(C122*0.001)*D123)/1000)/BB123), 2)</f>
        <v>#DIV/0!</v>
      </c>
      <c r="BE123" s="12" t="e">
        <f t="shared" ref="BE123:BE128" si="172">ROUND((BD123/AZ123),2)</f>
        <v>#DIV/0!</v>
      </c>
      <c r="BF123" s="241" t="e">
        <f t="shared" si="109"/>
        <v>#DIV/0!</v>
      </c>
      <c r="BG123" s="230"/>
      <c r="BH123" s="234"/>
      <c r="BI123" s="22"/>
      <c r="BJ123" s="22"/>
      <c r="BK123" s="161" t="e">
        <f>INDEX('WEG Motor'!$B$3:$AZ$55,
       MATCH(BI123,'WEG Motor'!$A$3:$A$55,0),
       MATCH(BJ123,'WEG Motor'!$B$2:$AZ$2,0))%</f>
        <v>#N/A</v>
      </c>
      <c r="BL123" s="161">
        <v>0.92</v>
      </c>
      <c r="BM123" s="161"/>
      <c r="BN123" s="162"/>
      <c r="BO123" s="163" t="e">
        <f>ROUND(((($BT$6*$BW$5*(C122*0.001)*D123)/1000)/BM123), 2)</f>
        <v>#DIV/0!</v>
      </c>
      <c r="BP123" s="22" t="e">
        <f t="shared" ref="BP123:BP128" si="173">ROUND((BO123/BK123),2)</f>
        <v>#DIV/0!</v>
      </c>
      <c r="BQ123" s="242" t="e">
        <f t="shared" ref="BQ123:BQ128" si="174">ROUND((BP123/BL123), 2)</f>
        <v>#DIV/0!</v>
      </c>
      <c r="BR123" s="193"/>
    </row>
    <row r="124" spans="1:70" ht="28.8" x14ac:dyDescent="0.3">
      <c r="A124" s="309"/>
      <c r="B124" s="309"/>
      <c r="C124" s="312"/>
      <c r="D124" s="164">
        <v>25</v>
      </c>
      <c r="E124" s="166"/>
      <c r="F124" s="146"/>
      <c r="G124" s="146"/>
      <c r="H124" s="147" t="e">
        <f>INDEX('WEG Motor'!$B$3:$AZ$55,
       MATCH(F124,'WEG Motor'!$A$3:$A$55,0),
       MATCH(G124,'WEG Motor'!$B$2:$AZ$2,0))%</f>
        <v>#N/A</v>
      </c>
      <c r="I124" s="147">
        <v>0.92</v>
      </c>
      <c r="J124" s="283"/>
      <c r="K124" s="148"/>
      <c r="L124" s="286" t="e">
        <f>ROUND(((($BT$6*$BW$5*(C122*0.001)*D124)/1000)/J124), 2)</f>
        <v>#DIV/0!</v>
      </c>
      <c r="M124" s="146" t="e">
        <f t="shared" si="168"/>
        <v>#DIV/0!</v>
      </c>
      <c r="N124" s="237" t="e">
        <f t="shared" si="101"/>
        <v>#DIV/0!</v>
      </c>
      <c r="O124" s="167"/>
      <c r="P124" s="211"/>
      <c r="Q124" s="23"/>
      <c r="R124" s="23"/>
      <c r="S124" s="149" t="e">
        <f>INDEX('WEG Motor'!$B$3:$AZ$55,
       MATCH(Q124,'WEG Motor'!$A$3:$A$55,0),
       MATCH(R124,'WEG Motor'!$B$2:$AZ$2,0))%</f>
        <v>#N/A</v>
      </c>
      <c r="T124" s="149">
        <v>0.92</v>
      </c>
      <c r="U124" s="149"/>
      <c r="V124" s="150"/>
      <c r="W124" s="151" t="e">
        <f>ROUND(((($BT$6*$BW$5*(C122*0.001)*D124)/1000)/U124), 2)</f>
        <v>#DIV/0!</v>
      </c>
      <c r="X124" s="23" t="e">
        <f t="shared" si="169"/>
        <v>#DIV/0!</v>
      </c>
      <c r="Y124" s="238" t="e">
        <f t="shared" si="103"/>
        <v>#DIV/0!</v>
      </c>
      <c r="Z124" s="212"/>
      <c r="AA124" s="217"/>
      <c r="AB124" s="24"/>
      <c r="AC124" s="24"/>
      <c r="AD124" s="152" t="e">
        <f>INDEX('WEG Motor'!$B$3:$AZ$55,
       MATCH(AB124,'WEG Motor'!$A$3:$A$55,0),
       MATCH(AC124,'WEG Motor'!$B$2:$AZ$2,0))%</f>
        <v>#N/A</v>
      </c>
      <c r="AE124" s="152">
        <v>0.92</v>
      </c>
      <c r="AF124" s="152"/>
      <c r="AG124" s="153"/>
      <c r="AH124" s="154" t="e">
        <f>ROUND(((($BT$6*$BW$5*(C122*0.001)*D124)/1000)/AF124), 2)</f>
        <v>#DIV/0!</v>
      </c>
      <c r="AI124" s="24" t="e">
        <f t="shared" si="170"/>
        <v>#DIV/0!</v>
      </c>
      <c r="AJ124" s="239" t="e">
        <f t="shared" si="105"/>
        <v>#DIV/0!</v>
      </c>
      <c r="AK124" s="218"/>
      <c r="AL124" s="346" t="s">
        <v>65</v>
      </c>
      <c r="AM124" s="98">
        <v>45</v>
      </c>
      <c r="AN124" s="98" t="s">
        <v>35</v>
      </c>
      <c r="AO124" s="347">
        <f>INDEX('WEG Motor'!$B$3:$AZ$55,
       MATCH(AM124,'WEG Motor'!$A$3:$A$55,0),
       MATCH(AN124,'WEG Motor'!$B$2:$AZ$2,0))%</f>
        <v>0.94200000000000006</v>
      </c>
      <c r="AP124" s="347">
        <v>0.92</v>
      </c>
      <c r="AQ124" s="347">
        <v>0.83109999999999995</v>
      </c>
      <c r="AR124" s="348">
        <v>5.2939999999999996</v>
      </c>
      <c r="AS124" s="349">
        <f>ROUND(((($BT$6*$BW$5*(C122*0.001)*D124)/1000)/AQ124), 2)</f>
        <v>38.94</v>
      </c>
      <c r="AT124" s="98">
        <f t="shared" si="171"/>
        <v>41.34</v>
      </c>
      <c r="AU124" s="350">
        <f t="shared" si="107"/>
        <v>44.93</v>
      </c>
      <c r="AV124" s="351" t="s">
        <v>156</v>
      </c>
      <c r="AW124" s="229"/>
      <c r="AX124" s="12"/>
      <c r="AY124" s="12"/>
      <c r="AZ124" s="158" t="e">
        <f>INDEX('WEG Motor'!$B$3:$AZ$55,
       MATCH(AX124,'WEG Motor'!$A$3:$A$55,0),
       MATCH(AY124,'WEG Motor'!$B$2:$AZ$2,0))%</f>
        <v>#N/A</v>
      </c>
      <c r="BA124" s="158">
        <v>0.92</v>
      </c>
      <c r="BB124" s="158"/>
      <c r="BC124" s="159"/>
      <c r="BD124" s="160" t="e">
        <f>ROUND(((($BT$6*$BW$5*(C122*0.001)*D124)/1000)/BB124), 2)</f>
        <v>#DIV/0!</v>
      </c>
      <c r="BE124" s="12" t="e">
        <f t="shared" si="172"/>
        <v>#DIV/0!</v>
      </c>
      <c r="BF124" s="241" t="e">
        <f t="shared" si="109"/>
        <v>#DIV/0!</v>
      </c>
      <c r="BG124" s="230"/>
      <c r="BH124" s="234"/>
      <c r="BI124" s="22"/>
      <c r="BJ124" s="22"/>
      <c r="BK124" s="161" t="e">
        <f>INDEX('WEG Motor'!$B$3:$AZ$55,
       MATCH(BI124,'WEG Motor'!$A$3:$A$55,0),
       MATCH(BJ124,'WEG Motor'!$B$2:$AZ$2,0))%</f>
        <v>#N/A</v>
      </c>
      <c r="BL124" s="161">
        <v>0.92</v>
      </c>
      <c r="BM124" s="161"/>
      <c r="BN124" s="162"/>
      <c r="BO124" s="163" t="e">
        <f>ROUND(((($BT$6*$BW$5*(C122*0.001)*D124)/1000)/BM124), 2)</f>
        <v>#DIV/0!</v>
      </c>
      <c r="BP124" s="22" t="e">
        <f t="shared" si="173"/>
        <v>#DIV/0!</v>
      </c>
      <c r="BQ124" s="242" t="e">
        <f t="shared" si="174"/>
        <v>#DIV/0!</v>
      </c>
      <c r="BR124" s="193"/>
    </row>
    <row r="125" spans="1:70" x14ac:dyDescent="0.3">
      <c r="A125" s="309"/>
      <c r="B125" s="309"/>
      <c r="C125" s="312"/>
      <c r="D125" s="164">
        <v>30</v>
      </c>
      <c r="E125" s="166"/>
      <c r="F125" s="146"/>
      <c r="G125" s="146"/>
      <c r="H125" s="147" t="e">
        <f>INDEX('WEG Motor'!$B$3:$AZ$55,
       MATCH(F125,'WEG Motor'!$A$3:$A$55,0),
       MATCH(G125,'WEG Motor'!$B$2:$AZ$2,0))%</f>
        <v>#N/A</v>
      </c>
      <c r="I125" s="147">
        <v>0.92</v>
      </c>
      <c r="J125" s="283"/>
      <c r="K125" s="148"/>
      <c r="L125" s="286" t="e">
        <f>ROUND(((($BT$6*$BW$5*(C122*0.001)*D125)/1000)/J125), 2)</f>
        <v>#DIV/0!</v>
      </c>
      <c r="M125" s="146" t="e">
        <f t="shared" si="168"/>
        <v>#DIV/0!</v>
      </c>
      <c r="N125" s="237" t="e">
        <f t="shared" si="101"/>
        <v>#DIV/0!</v>
      </c>
      <c r="O125" s="167"/>
      <c r="P125" s="211"/>
      <c r="Q125" s="23"/>
      <c r="R125" s="23"/>
      <c r="S125" s="149" t="e">
        <f>INDEX('WEG Motor'!$B$3:$AZ$55,
       MATCH(Q125,'WEG Motor'!$A$3:$A$55,0),
       MATCH(R125,'WEG Motor'!$B$2:$AZ$2,0))%</f>
        <v>#N/A</v>
      </c>
      <c r="T125" s="149">
        <v>0.92</v>
      </c>
      <c r="U125" s="149"/>
      <c r="V125" s="150"/>
      <c r="W125" s="151" t="e">
        <f>ROUND(((($BT$6*$BW$5*(C122*0.001)*D125)/1000)/U125), 2)</f>
        <v>#DIV/0!</v>
      </c>
      <c r="X125" s="23" t="e">
        <f t="shared" si="169"/>
        <v>#DIV/0!</v>
      </c>
      <c r="Y125" s="238" t="e">
        <f t="shared" si="103"/>
        <v>#DIV/0!</v>
      </c>
      <c r="Z125" s="212"/>
      <c r="AA125" s="217"/>
      <c r="AB125" s="24"/>
      <c r="AC125" s="24"/>
      <c r="AD125" s="152" t="e">
        <f>INDEX('WEG Motor'!$B$3:$AZ$55,
       MATCH(AB125,'WEG Motor'!$A$3:$A$55,0),
       MATCH(AC125,'WEG Motor'!$B$2:$AZ$2,0))%</f>
        <v>#N/A</v>
      </c>
      <c r="AE125" s="152">
        <v>0.92</v>
      </c>
      <c r="AF125" s="152"/>
      <c r="AG125" s="153"/>
      <c r="AH125" s="154" t="e">
        <f>ROUND(((($BT$6*$BW$5*(C122*0.001)*D125)/1000)/AF125), 2)</f>
        <v>#DIV/0!</v>
      </c>
      <c r="AI125" s="24" t="e">
        <f t="shared" si="170"/>
        <v>#DIV/0!</v>
      </c>
      <c r="AJ125" s="239" t="e">
        <f t="shared" si="105"/>
        <v>#DIV/0!</v>
      </c>
      <c r="AK125" s="218"/>
      <c r="AL125" s="223"/>
      <c r="AM125" s="25"/>
      <c r="AN125" s="25"/>
      <c r="AO125" s="155" t="e">
        <f>INDEX('WEG Motor'!$B$3:$AZ$55,
       MATCH(AM125,'WEG Motor'!$A$3:$A$55,0),
       MATCH(AN125,'WEG Motor'!$B$2:$AZ$2,0))%</f>
        <v>#N/A</v>
      </c>
      <c r="AP125" s="155">
        <v>0.92</v>
      </c>
      <c r="AQ125" s="155"/>
      <c r="AR125" s="156"/>
      <c r="AS125" s="157" t="e">
        <f>ROUND(((($BT$6*$BW$5*(C122*0.001)*D125)/1000)/AQ125), 2)</f>
        <v>#DIV/0!</v>
      </c>
      <c r="AT125" s="25" t="e">
        <f t="shared" si="171"/>
        <v>#DIV/0!</v>
      </c>
      <c r="AU125" s="240" t="e">
        <f t="shared" si="107"/>
        <v>#DIV/0!</v>
      </c>
      <c r="AV125" s="224"/>
      <c r="AW125" s="229"/>
      <c r="AX125" s="12"/>
      <c r="AY125" s="12"/>
      <c r="AZ125" s="158" t="e">
        <f>INDEX('WEG Motor'!$B$3:$AZ$55,
       MATCH(AX125,'WEG Motor'!$A$3:$A$55,0),
       MATCH(AY125,'WEG Motor'!$B$2:$AZ$2,0))%</f>
        <v>#N/A</v>
      </c>
      <c r="BA125" s="158">
        <v>0.92</v>
      </c>
      <c r="BB125" s="158"/>
      <c r="BC125" s="159"/>
      <c r="BD125" s="160" t="e">
        <f>ROUND(((($BT$6*$BW$5*(C122*0.001)*D125)/1000)/BB125), 2)</f>
        <v>#DIV/0!</v>
      </c>
      <c r="BE125" s="12" t="e">
        <f t="shared" si="172"/>
        <v>#DIV/0!</v>
      </c>
      <c r="BF125" s="241" t="e">
        <f t="shared" si="109"/>
        <v>#DIV/0!</v>
      </c>
      <c r="BG125" s="230"/>
      <c r="BH125" s="234"/>
      <c r="BI125" s="22"/>
      <c r="BJ125" s="22"/>
      <c r="BK125" s="161" t="e">
        <f>INDEX('WEG Motor'!$B$3:$AZ$55,
       MATCH(BI125,'WEG Motor'!$A$3:$A$55,0),
       MATCH(BJ125,'WEG Motor'!$B$2:$AZ$2,0))%</f>
        <v>#N/A</v>
      </c>
      <c r="BL125" s="161">
        <v>0.92</v>
      </c>
      <c r="BM125" s="161"/>
      <c r="BN125" s="162"/>
      <c r="BO125" s="163" t="e">
        <f>ROUND(((($BT$6*$BW$5*(C122*0.001)*D125)/1000)/BM125), 2)</f>
        <v>#DIV/0!</v>
      </c>
      <c r="BP125" s="22" t="e">
        <f t="shared" si="173"/>
        <v>#DIV/0!</v>
      </c>
      <c r="BQ125" s="242" t="e">
        <f t="shared" si="174"/>
        <v>#DIV/0!</v>
      </c>
      <c r="BR125" s="193"/>
    </row>
    <row r="126" spans="1:70" ht="57.6" x14ac:dyDescent="0.3">
      <c r="A126" s="309"/>
      <c r="B126" s="309"/>
      <c r="C126" s="312"/>
      <c r="D126" s="164">
        <v>35</v>
      </c>
      <c r="E126" s="166"/>
      <c r="F126" s="146"/>
      <c r="G126" s="146"/>
      <c r="H126" s="147" t="e">
        <f>INDEX('WEG Motor'!$B$3:$AZ$55,
       MATCH(F126,'WEG Motor'!$A$3:$A$55,0),
       MATCH(G126,'WEG Motor'!$B$2:$AZ$2,0))%</f>
        <v>#N/A</v>
      </c>
      <c r="I126" s="147">
        <v>0.92</v>
      </c>
      <c r="J126" s="283"/>
      <c r="K126" s="148"/>
      <c r="L126" s="286" t="e">
        <f t="shared" ref="L126:L128" si="175">ROUND(((($BT$6*$BW$5*(C126*0.001)*D126)/1000)/J126), 2)</f>
        <v>#DIV/0!</v>
      </c>
      <c r="M126" s="146" t="e">
        <f t="shared" si="168"/>
        <v>#DIV/0!</v>
      </c>
      <c r="N126" s="237" t="e">
        <f t="shared" si="101"/>
        <v>#DIV/0!</v>
      </c>
      <c r="O126" s="167"/>
      <c r="P126" s="339"/>
      <c r="Q126" s="88"/>
      <c r="R126" s="88"/>
      <c r="S126" s="340" t="e">
        <f>INDEX('WEG Motor'!$B$3:$AZ$55,
       MATCH(Q126,'WEG Motor'!$A$3:$A$55,0),
       MATCH(R126,'WEG Motor'!$B$2:$AZ$2,0))%</f>
        <v>#N/A</v>
      </c>
      <c r="T126" s="340">
        <v>0.92</v>
      </c>
      <c r="U126" s="340"/>
      <c r="V126" s="341"/>
      <c r="W126" s="342" t="e">
        <f>ROUND(((($BT$6*$BW$5*(C122*0.001)*D126)/1000)/U126), 2)</f>
        <v>#DIV/0!</v>
      </c>
      <c r="X126" s="88" t="e">
        <f t="shared" si="169"/>
        <v>#DIV/0!</v>
      </c>
      <c r="Y126" s="343" t="e">
        <f t="shared" si="103"/>
        <v>#DIV/0!</v>
      </c>
      <c r="Z126" s="344"/>
      <c r="AA126" s="217"/>
      <c r="AB126" s="24"/>
      <c r="AC126" s="24"/>
      <c r="AD126" s="152" t="e">
        <f>INDEX('WEG Motor'!$B$3:$AZ$55,
       MATCH(AB126,'WEG Motor'!$A$3:$A$55,0),
       MATCH(AC126,'WEG Motor'!$B$2:$AZ$2,0))%</f>
        <v>#N/A</v>
      </c>
      <c r="AE126" s="152">
        <v>0.92</v>
      </c>
      <c r="AF126" s="152"/>
      <c r="AG126" s="153"/>
      <c r="AH126" s="154" t="e">
        <f>ROUND(((($BT$6*$BW$5*(C122*0.001)*D126)/1000)/AF126), 2)</f>
        <v>#DIV/0!</v>
      </c>
      <c r="AI126" s="24" t="e">
        <f t="shared" si="170"/>
        <v>#DIV/0!</v>
      </c>
      <c r="AJ126" s="239" t="e">
        <f t="shared" si="105"/>
        <v>#DIV/0!</v>
      </c>
      <c r="AK126" s="218"/>
      <c r="AL126" s="346" t="s">
        <v>155</v>
      </c>
      <c r="AM126" s="98">
        <v>75</v>
      </c>
      <c r="AN126" s="98" t="s">
        <v>35</v>
      </c>
      <c r="AO126" s="347">
        <f>INDEX('WEG Motor'!$B$3:$AZ$55,
       MATCH(AM126,'WEG Motor'!$A$3:$A$55,0),
       MATCH(AN126,'WEG Motor'!$B$2:$AZ$2,0))%</f>
        <v>0.95</v>
      </c>
      <c r="AP126" s="347">
        <v>0.92</v>
      </c>
      <c r="AQ126" s="347">
        <v>0.8246</v>
      </c>
      <c r="AR126" s="348">
        <v>4.9749999999999996</v>
      </c>
      <c r="AS126" s="349">
        <f>ROUND(((($BT$6*$BW$5*(C122*0.001)*D126)/1000)/AQ126), 2)</f>
        <v>54.95</v>
      </c>
      <c r="AT126" s="98">
        <f t="shared" si="171"/>
        <v>57.84</v>
      </c>
      <c r="AU126" s="350">
        <f t="shared" si="107"/>
        <v>62.87</v>
      </c>
      <c r="AV126" s="359" t="s">
        <v>161</v>
      </c>
      <c r="AW126" s="229"/>
      <c r="AX126" s="12"/>
      <c r="AY126" s="12"/>
      <c r="AZ126" s="158" t="e">
        <f>INDEX('WEG Motor'!$B$3:$AZ$55,
       MATCH(AX126,'WEG Motor'!$A$3:$A$55,0),
       MATCH(AY126,'WEG Motor'!$B$2:$AZ$2,0))%</f>
        <v>#N/A</v>
      </c>
      <c r="BA126" s="158">
        <v>0.92</v>
      </c>
      <c r="BB126" s="158"/>
      <c r="BC126" s="159"/>
      <c r="BD126" s="160" t="e">
        <f>ROUND(((($BT$6*$BW$5*(C122*0.001)*D126)/1000)/BB126), 2)</f>
        <v>#DIV/0!</v>
      </c>
      <c r="BE126" s="12" t="e">
        <f t="shared" si="172"/>
        <v>#DIV/0!</v>
      </c>
      <c r="BF126" s="241" t="e">
        <f t="shared" si="109"/>
        <v>#DIV/0!</v>
      </c>
      <c r="BG126" s="230"/>
      <c r="BH126" s="234"/>
      <c r="BI126" s="22"/>
      <c r="BJ126" s="22"/>
      <c r="BK126" s="161" t="e">
        <f>INDEX('WEG Motor'!$B$3:$AZ$55,
       MATCH(BI126,'WEG Motor'!$A$3:$A$55,0),
       MATCH(BJ126,'WEG Motor'!$B$2:$AZ$2,0))%</f>
        <v>#N/A</v>
      </c>
      <c r="BL126" s="161">
        <v>0.92</v>
      </c>
      <c r="BM126" s="161"/>
      <c r="BN126" s="162"/>
      <c r="BO126" s="163" t="e">
        <f>ROUND(((($BT$6*$BW$5*(C122*0.001)*D126)/1000)/BM126), 2)</f>
        <v>#DIV/0!</v>
      </c>
      <c r="BP126" s="22" t="e">
        <f t="shared" si="173"/>
        <v>#DIV/0!</v>
      </c>
      <c r="BQ126" s="242" t="e">
        <f t="shared" si="174"/>
        <v>#DIV/0!</v>
      </c>
      <c r="BR126" s="193"/>
    </row>
    <row r="127" spans="1:70" ht="28.8" x14ac:dyDescent="0.3">
      <c r="A127" s="309"/>
      <c r="B127" s="309"/>
      <c r="C127" s="312"/>
      <c r="D127" s="164">
        <v>40</v>
      </c>
      <c r="E127" s="166"/>
      <c r="F127" s="146"/>
      <c r="G127" s="146"/>
      <c r="H127" s="147" t="e">
        <f>INDEX('WEG Motor'!$B$3:$AZ$55,
       MATCH(F127,'WEG Motor'!$A$3:$A$55,0),
       MATCH(G127,'WEG Motor'!$B$2:$AZ$2,0))%</f>
        <v>#N/A</v>
      </c>
      <c r="I127" s="147">
        <v>0.92</v>
      </c>
      <c r="J127" s="283"/>
      <c r="K127" s="148"/>
      <c r="L127" s="286" t="e">
        <f>ROUND(((($BT$6*$BW$5*(C122*0.001)*D127)/1000)/J127), 2)</f>
        <v>#DIV/0!</v>
      </c>
      <c r="M127" s="146" t="e">
        <f t="shared" si="168"/>
        <v>#DIV/0!</v>
      </c>
      <c r="N127" s="237" t="e">
        <f t="shared" si="101"/>
        <v>#DIV/0!</v>
      </c>
      <c r="O127" s="167"/>
      <c r="P127" s="211"/>
      <c r="Q127" s="23"/>
      <c r="R127" s="23"/>
      <c r="S127" s="149" t="e">
        <f>INDEX('WEG Motor'!$B$3:$AZ$55,
       MATCH(Q127,'WEG Motor'!$A$3:$A$55,0),
       MATCH(R127,'WEG Motor'!$B$2:$AZ$2,0))%</f>
        <v>#N/A</v>
      </c>
      <c r="T127" s="149">
        <v>0.92</v>
      </c>
      <c r="U127" s="149"/>
      <c r="V127" s="150"/>
      <c r="W127" s="151" t="e">
        <f>ROUND(((($BT$6*$BW$5*(C122*0.001)*D127)/1000)/U127), 2)</f>
        <v>#DIV/0!</v>
      </c>
      <c r="X127" s="23" t="e">
        <f t="shared" si="169"/>
        <v>#DIV/0!</v>
      </c>
      <c r="Y127" s="238" t="e">
        <f t="shared" si="103"/>
        <v>#DIV/0!</v>
      </c>
      <c r="Z127" s="212"/>
      <c r="AA127" s="217"/>
      <c r="AB127" s="24"/>
      <c r="AC127" s="24"/>
      <c r="AD127" s="152" t="e">
        <f>INDEX('WEG Motor'!$B$3:$AZ$55,
       MATCH(AB127,'WEG Motor'!$A$3:$A$55,0),
       MATCH(AC127,'WEG Motor'!$B$2:$AZ$2,0))%</f>
        <v>#N/A</v>
      </c>
      <c r="AE127" s="152">
        <v>0.92</v>
      </c>
      <c r="AF127" s="152"/>
      <c r="AG127" s="153"/>
      <c r="AH127" s="154" t="e">
        <f>ROUND(((($BT$6*$BW$5*(C122*0.001)*D127)/1000)/AF127), 2)</f>
        <v>#DIV/0!</v>
      </c>
      <c r="AI127" s="24" t="e">
        <f t="shared" si="170"/>
        <v>#DIV/0!</v>
      </c>
      <c r="AJ127" s="239" t="e">
        <f t="shared" si="105"/>
        <v>#DIV/0!</v>
      </c>
      <c r="AK127" s="218"/>
      <c r="AL127" s="346" t="s">
        <v>155</v>
      </c>
      <c r="AM127" s="98">
        <v>75</v>
      </c>
      <c r="AN127" s="98" t="s">
        <v>35</v>
      </c>
      <c r="AO127" s="347">
        <f>INDEX('WEG Motor'!$B$3:$AZ$55,
       MATCH(AM127,'WEG Motor'!$A$3:$A$55,0),
       MATCH(AN127,'WEG Motor'!$B$2:$AZ$2,0))%</f>
        <v>0.95</v>
      </c>
      <c r="AP127" s="347">
        <v>0.92</v>
      </c>
      <c r="AQ127" s="347">
        <v>0.83179999999999998</v>
      </c>
      <c r="AR127" s="348">
        <v>4.9749999999999996</v>
      </c>
      <c r="AS127" s="349">
        <f>ROUND(((($BT$6*$BW$5*(C122*0.001)*D127)/1000)/AQ127), 2)</f>
        <v>62.26</v>
      </c>
      <c r="AT127" s="98">
        <f t="shared" si="171"/>
        <v>65.540000000000006</v>
      </c>
      <c r="AU127" s="350">
        <f t="shared" si="107"/>
        <v>71.239999999999995</v>
      </c>
      <c r="AV127" s="351" t="s">
        <v>160</v>
      </c>
      <c r="AW127" s="229"/>
      <c r="AX127" s="12"/>
      <c r="AY127" s="12"/>
      <c r="AZ127" s="158" t="e">
        <f>INDEX('WEG Motor'!$B$3:$AZ$55,
       MATCH(AX127,'WEG Motor'!$A$3:$A$55,0),
       MATCH(AY127,'WEG Motor'!$B$2:$AZ$2,0))%</f>
        <v>#N/A</v>
      </c>
      <c r="BA127" s="158">
        <v>0.92</v>
      </c>
      <c r="BB127" s="158"/>
      <c r="BC127" s="159"/>
      <c r="BD127" s="160" t="e">
        <f>ROUND(((($BT$6*$BW$5*(C122*0.001)*D127)/1000)/BB127), 2)</f>
        <v>#DIV/0!</v>
      </c>
      <c r="BE127" s="12" t="e">
        <f t="shared" si="172"/>
        <v>#DIV/0!</v>
      </c>
      <c r="BF127" s="241" t="e">
        <f t="shared" si="109"/>
        <v>#DIV/0!</v>
      </c>
      <c r="BG127" s="230"/>
      <c r="BH127" s="234"/>
      <c r="BI127" s="22"/>
      <c r="BJ127" s="22"/>
      <c r="BK127" s="161" t="e">
        <f>INDEX('WEG Motor'!$B$3:$AZ$55,
       MATCH(BI127,'WEG Motor'!$A$3:$A$55,0),
       MATCH(BJ127,'WEG Motor'!$B$2:$AZ$2,0))%</f>
        <v>#N/A</v>
      </c>
      <c r="BL127" s="161">
        <v>0.92</v>
      </c>
      <c r="BM127" s="161"/>
      <c r="BN127" s="162"/>
      <c r="BO127" s="163" t="e">
        <f>ROUND(((($BT$6*$BW$5*(C122*0.001)*D127)/1000)/BM127), 2)</f>
        <v>#DIV/0!</v>
      </c>
      <c r="BP127" s="22" t="e">
        <f t="shared" si="173"/>
        <v>#DIV/0!</v>
      </c>
      <c r="BQ127" s="242" t="e">
        <f t="shared" si="174"/>
        <v>#DIV/0!</v>
      </c>
      <c r="BR127" s="193"/>
    </row>
    <row r="128" spans="1:70" ht="15" thickBot="1" x14ac:dyDescent="0.35">
      <c r="A128" s="310"/>
      <c r="B128" s="310"/>
      <c r="C128" s="313"/>
      <c r="D128" s="165">
        <v>45</v>
      </c>
      <c r="E128" s="168"/>
      <c r="F128" s="169"/>
      <c r="G128" s="169"/>
      <c r="H128" s="170" t="e">
        <f>INDEX('WEG Motor'!$B$3:$AZ$55,
       MATCH(F128,'WEG Motor'!$A$3:$A$55,0),
       MATCH(G128,'WEG Motor'!$B$2:$AZ$2,0))%</f>
        <v>#N/A</v>
      </c>
      <c r="I128" s="170">
        <v>0.92</v>
      </c>
      <c r="J128" s="284"/>
      <c r="K128" s="171"/>
      <c r="L128" s="287" t="e">
        <f>ROUND(((($BT$6*$BW$5*(C122*0.001)*D128)/1000)/J128), 2)</f>
        <v>#DIV/0!</v>
      </c>
      <c r="M128" s="169" t="e">
        <f t="shared" si="168"/>
        <v>#DIV/0!</v>
      </c>
      <c r="N128" s="247" t="e">
        <f t="shared" si="101"/>
        <v>#DIV/0!</v>
      </c>
      <c r="O128" s="172"/>
      <c r="P128" s="213"/>
      <c r="Q128" s="194"/>
      <c r="R128" s="194"/>
      <c r="S128" s="195" t="e">
        <f>INDEX('WEG Motor'!$B$3:$AZ$55,
       MATCH(Q128,'WEG Motor'!$A$3:$A$55,0),
       MATCH(R128,'WEG Motor'!$B$2:$AZ$2,0))%</f>
        <v>#N/A</v>
      </c>
      <c r="T128" s="195">
        <v>0.92</v>
      </c>
      <c r="U128" s="195"/>
      <c r="V128" s="196"/>
      <c r="W128" s="140" t="e">
        <f>ROUND(((($BT$6*$BW$5*(C122*0.001)*D128)/1000)/U128), 2)</f>
        <v>#DIV/0!</v>
      </c>
      <c r="X128" s="194" t="e">
        <f t="shared" si="169"/>
        <v>#DIV/0!</v>
      </c>
      <c r="Y128" s="246" t="e">
        <f t="shared" si="103"/>
        <v>#DIV/0!</v>
      </c>
      <c r="Z128" s="214"/>
      <c r="AA128" s="219"/>
      <c r="AB128" s="197"/>
      <c r="AC128" s="197"/>
      <c r="AD128" s="198" t="e">
        <f>INDEX('WEG Motor'!$B$3:$AZ$55,
       MATCH(AB128,'WEG Motor'!$A$3:$A$55,0),
       MATCH(AC128,'WEG Motor'!$B$2:$AZ$2,0))%</f>
        <v>#N/A</v>
      </c>
      <c r="AE128" s="198">
        <v>0.92</v>
      </c>
      <c r="AF128" s="198"/>
      <c r="AG128" s="199"/>
      <c r="AH128" s="141" t="e">
        <f>ROUND(((($BT$6*$BW$5*(C122*0.001)*D128)/1000)/AF128), 2)</f>
        <v>#DIV/0!</v>
      </c>
      <c r="AI128" s="197" t="e">
        <f t="shared" si="170"/>
        <v>#DIV/0!</v>
      </c>
      <c r="AJ128" s="245" t="e">
        <f t="shared" si="105"/>
        <v>#DIV/0!</v>
      </c>
      <c r="AK128" s="220"/>
      <c r="AL128" s="225"/>
      <c r="AM128" s="200"/>
      <c r="AN128" s="200"/>
      <c r="AO128" s="201" t="e">
        <f>INDEX('WEG Motor'!$B$3:$AZ$55,
       MATCH(AM128,'WEG Motor'!$A$3:$A$55,0),
       MATCH(AN128,'WEG Motor'!$B$2:$AZ$2,0))%</f>
        <v>#N/A</v>
      </c>
      <c r="AP128" s="201">
        <v>0.92</v>
      </c>
      <c r="AQ128" s="201"/>
      <c r="AR128" s="202"/>
      <c r="AS128" s="142" t="e">
        <f>ROUND(((($BT$6*$BW$5*(C122*0.001)*D128)/1000)/AQ128), 2)</f>
        <v>#DIV/0!</v>
      </c>
      <c r="AT128" s="200" t="e">
        <f t="shared" si="171"/>
        <v>#DIV/0!</v>
      </c>
      <c r="AU128" s="244" t="e">
        <f t="shared" si="107"/>
        <v>#DIV/0!</v>
      </c>
      <c r="AV128" s="226" t="s">
        <v>153</v>
      </c>
      <c r="AW128" s="231"/>
      <c r="AX128" s="203"/>
      <c r="AY128" s="203"/>
      <c r="AZ128" s="204" t="e">
        <f>INDEX('WEG Motor'!$B$3:$AZ$55,
       MATCH(AX128,'WEG Motor'!$A$3:$A$55,0),
       MATCH(AY128,'WEG Motor'!$B$2:$AZ$2,0))%</f>
        <v>#N/A</v>
      </c>
      <c r="BA128" s="204">
        <v>0.92</v>
      </c>
      <c r="BB128" s="204"/>
      <c r="BC128" s="205"/>
      <c r="BD128" s="143" t="e">
        <f>ROUND(((($BT$6*$BW$5*(C122*0.001)*D128)/1000)/BB128), 2)</f>
        <v>#DIV/0!</v>
      </c>
      <c r="BE128" s="203" t="e">
        <f t="shared" si="172"/>
        <v>#DIV/0!</v>
      </c>
      <c r="BF128" s="243" t="e">
        <f t="shared" si="109"/>
        <v>#DIV/0!</v>
      </c>
      <c r="BG128" s="232"/>
      <c r="BH128" s="235"/>
      <c r="BI128" s="66"/>
      <c r="BJ128" s="66"/>
      <c r="BK128" s="206" t="e">
        <f>INDEX('WEG Motor'!$B$3:$AZ$55,
       MATCH(BI128,'WEG Motor'!$A$3:$A$55,0),
       MATCH(BJ128,'WEG Motor'!$B$2:$AZ$2,0))%</f>
        <v>#N/A</v>
      </c>
      <c r="BL128" s="206">
        <v>0.92</v>
      </c>
      <c r="BM128" s="206"/>
      <c r="BN128" s="207"/>
      <c r="BO128" s="144" t="e">
        <f>ROUND(((($BT$6*$BW$5*(C122*0.001)*D128)/1000)/BM128), 2)</f>
        <v>#DIV/0!</v>
      </c>
      <c r="BP128" s="292" t="e">
        <f t="shared" si="173"/>
        <v>#DIV/0!</v>
      </c>
      <c r="BQ128" s="293" t="e">
        <f t="shared" si="174"/>
        <v>#DIV/0!</v>
      </c>
      <c r="BR128" s="208"/>
    </row>
    <row r="129" spans="1:70" x14ac:dyDescent="0.3">
      <c r="A129" s="308">
        <v>18</v>
      </c>
      <c r="B129" s="308">
        <v>1150</v>
      </c>
      <c r="C129" s="311">
        <f>ROUND((B129 * $BW$7 * 1000) / ($BT$6 * $BW$3 * $BW$4), 0)</f>
        <v>138</v>
      </c>
      <c r="D129" s="145">
        <v>15</v>
      </c>
      <c r="E129" s="173"/>
      <c r="F129" s="53"/>
      <c r="G129" s="53"/>
      <c r="H129" s="174" t="e">
        <f>INDEX('WEG Motor'!$B$3:$AZ$55,
       MATCH(F129,'WEG Motor'!$A$3:$A$55,0),
       MATCH(G129,'WEG Motor'!$B$2:$AZ$2,0))%</f>
        <v>#N/A</v>
      </c>
      <c r="I129" s="174">
        <v>0.92</v>
      </c>
      <c r="J129" s="282"/>
      <c r="K129" s="175"/>
      <c r="L129" s="285" t="e">
        <f t="shared" ref="L129:L133" si="176">ROUND(((($BT$6*$BW$5*(C129*0.001)*D129)/1000)/J129), 2)</f>
        <v>#DIV/0!</v>
      </c>
      <c r="M129" s="53" t="e">
        <f>ROUND((L129/H129),2)</f>
        <v>#DIV/0!</v>
      </c>
      <c r="N129" s="236" t="e">
        <f t="shared" si="101"/>
        <v>#DIV/0!</v>
      </c>
      <c r="O129" s="176"/>
      <c r="P129" s="209"/>
      <c r="Q129" s="177"/>
      <c r="R129" s="177"/>
      <c r="S129" s="178" t="e">
        <f>INDEX('WEG Motor'!$B$3:$AZ$55,
       MATCH(Q129,'WEG Motor'!$A$3:$A$55,0),
       MATCH(R129,'WEG Motor'!$B$2:$AZ$2,0))%</f>
        <v>#N/A</v>
      </c>
      <c r="T129" s="178">
        <v>0.92</v>
      </c>
      <c r="U129" s="178"/>
      <c r="V129" s="179"/>
      <c r="W129" s="297" t="e">
        <f>ROUND(((($BT$6*$BW$5*(C129*0.001)*D129)/1000)/U129), 2)</f>
        <v>#DIV/0!</v>
      </c>
      <c r="X129" s="177" t="e">
        <f>ROUND((W129/S129),2)</f>
        <v>#DIV/0!</v>
      </c>
      <c r="Y129" s="276" t="e">
        <f t="shared" si="103"/>
        <v>#DIV/0!</v>
      </c>
      <c r="Z129" s="210"/>
      <c r="AA129" s="215"/>
      <c r="AB129" s="180"/>
      <c r="AC129" s="180"/>
      <c r="AD129" s="181" t="e">
        <f>INDEX('WEG Motor'!$B$3:$AZ$55,
       MATCH(AB129,'WEG Motor'!$A$3:$A$55,0),
       MATCH(AC129,'WEG Motor'!$B$2:$AZ$2,0))%</f>
        <v>#N/A</v>
      </c>
      <c r="AE129" s="181">
        <v>0.92</v>
      </c>
      <c r="AF129" s="181"/>
      <c r="AG129" s="182"/>
      <c r="AH129" s="296" t="e">
        <f>ROUND(((($BT$6*$BW$5*(C129*0.001)*D129)/1000)/AF129), 2)</f>
        <v>#DIV/0!</v>
      </c>
      <c r="AI129" s="180" t="e">
        <f>ROUND((AH129/AD129),2)</f>
        <v>#DIV/0!</v>
      </c>
      <c r="AJ129" s="277" t="e">
        <f t="shared" si="105"/>
        <v>#DIV/0!</v>
      </c>
      <c r="AK129" s="216"/>
      <c r="AL129" s="221"/>
      <c r="AM129" s="183"/>
      <c r="AN129" s="183"/>
      <c r="AO129" s="184" t="e">
        <f>INDEX('WEG Motor'!$B$3:$AZ$55,
       MATCH(AM129,'WEG Motor'!$A$3:$A$55,0),
       MATCH(AN129,'WEG Motor'!$B$2:$AZ$2,0))%</f>
        <v>#N/A</v>
      </c>
      <c r="AP129" s="184">
        <v>0.92</v>
      </c>
      <c r="AQ129" s="184"/>
      <c r="AR129" s="185"/>
      <c r="AS129" s="295" t="e">
        <f>ROUND(((($BT$6*$BW$5*(C129*0.001)*D129)/1000)/AQ129), 2)</f>
        <v>#DIV/0!</v>
      </c>
      <c r="AT129" s="183" t="e">
        <f>ROUND((AS129/AO129),2)</f>
        <v>#DIV/0!</v>
      </c>
      <c r="AU129" s="278" t="e">
        <f t="shared" si="107"/>
        <v>#DIV/0!</v>
      </c>
      <c r="AV129" s="222"/>
      <c r="AW129" s="227"/>
      <c r="AX129" s="186"/>
      <c r="AY129" s="186"/>
      <c r="AZ129" s="187" t="e">
        <f>INDEX('WEG Motor'!$B$3:$AZ$55,
       MATCH(AX129,'WEG Motor'!$A$3:$A$55,0),
       MATCH(AY129,'WEG Motor'!$B$2:$AZ$2,0))%</f>
        <v>#N/A</v>
      </c>
      <c r="BA129" s="187">
        <v>0.92</v>
      </c>
      <c r="BB129" s="187"/>
      <c r="BC129" s="188"/>
      <c r="BD129" s="294" t="e">
        <f>ROUND(((($BT$6*$BW$5*(C129*0.001)*D129)/1000)/BB129), 2)</f>
        <v>#DIV/0!</v>
      </c>
      <c r="BE129" s="186" t="e">
        <f>ROUND((BD129/AZ129),2)</f>
        <v>#DIV/0!</v>
      </c>
      <c r="BF129" s="279" t="e">
        <f t="shared" si="109"/>
        <v>#DIV/0!</v>
      </c>
      <c r="BG129" s="228"/>
      <c r="BH129" s="233"/>
      <c r="BI129" s="189"/>
      <c r="BJ129" s="189"/>
      <c r="BK129" s="190" t="e">
        <f>INDEX('WEG Motor'!$B$3:$AZ$55,
       MATCH(BI129,'WEG Motor'!$A$3:$A$55,0),
       MATCH(BJ129,'WEG Motor'!$B$2:$AZ$2,0))%</f>
        <v>#N/A</v>
      </c>
      <c r="BL129" s="190">
        <v>0.92</v>
      </c>
      <c r="BM129" s="190"/>
      <c r="BN129" s="191"/>
      <c r="BO129" s="289" t="e">
        <f>ROUND(((($BT$6*$BW$5*(C129*0.001)*D129)/1000)/BM129), 2)</f>
        <v>#DIV/0!</v>
      </c>
      <c r="BP129" s="290" t="e">
        <f>ROUND((BO129/BK129),2)</f>
        <v>#DIV/0!</v>
      </c>
      <c r="BQ129" s="291" t="e">
        <f>ROUND((BP129/BL129), 2)</f>
        <v>#DIV/0!</v>
      </c>
      <c r="BR129" s="192"/>
    </row>
    <row r="130" spans="1:70" ht="43.2" x14ac:dyDescent="0.3">
      <c r="A130" s="309"/>
      <c r="B130" s="309"/>
      <c r="C130" s="312"/>
      <c r="D130" s="164">
        <v>20</v>
      </c>
      <c r="E130" s="166"/>
      <c r="F130" s="146"/>
      <c r="G130" s="146"/>
      <c r="H130" s="147" t="e">
        <f>INDEX('WEG Motor'!$B$3:$AZ$55,
       MATCH(F130,'WEG Motor'!$A$3:$A$55,0),
       MATCH(G130,'WEG Motor'!$B$2:$AZ$2,0))%</f>
        <v>#N/A</v>
      </c>
      <c r="I130" s="147">
        <v>0.92</v>
      </c>
      <c r="J130" s="283"/>
      <c r="K130" s="148"/>
      <c r="L130" s="286" t="e">
        <f>ROUND(((($BT$6*$BW$5*(C129*0.001)*D130)/1000)/J130), 2)</f>
        <v>#DIV/0!</v>
      </c>
      <c r="M130" s="146" t="e">
        <f t="shared" ref="M130:M135" si="177">ROUND((L130/H130),2)</f>
        <v>#DIV/0!</v>
      </c>
      <c r="N130" s="237" t="e">
        <f t="shared" si="101"/>
        <v>#DIV/0!</v>
      </c>
      <c r="O130" s="167"/>
      <c r="P130" s="211"/>
      <c r="Q130" s="23"/>
      <c r="R130" s="23"/>
      <c r="S130" s="149" t="e">
        <f>INDEX('WEG Motor'!$B$3:$AZ$55,
       MATCH(Q130,'WEG Motor'!$A$3:$A$55,0),
       MATCH(R130,'WEG Motor'!$B$2:$AZ$2,0))%</f>
        <v>#N/A</v>
      </c>
      <c r="T130" s="149">
        <v>0.92</v>
      </c>
      <c r="U130" s="149"/>
      <c r="V130" s="150"/>
      <c r="W130" s="151" t="e">
        <f>ROUND(((($BT$6*$BW$5*(C129*0.001)*D130)/1000)/U130), 2)</f>
        <v>#DIV/0!</v>
      </c>
      <c r="X130" s="23" t="e">
        <f t="shared" ref="X130:X135" si="178">ROUND((W130/S130),2)</f>
        <v>#DIV/0!</v>
      </c>
      <c r="Y130" s="238" t="e">
        <f t="shared" si="103"/>
        <v>#DIV/0!</v>
      </c>
      <c r="Z130" s="212"/>
      <c r="AA130" s="217"/>
      <c r="AB130" s="24"/>
      <c r="AC130" s="24"/>
      <c r="AD130" s="152" t="e">
        <f>INDEX('WEG Motor'!$B$3:$AZ$55,
       MATCH(AB130,'WEG Motor'!$A$3:$A$55,0),
       MATCH(AC130,'WEG Motor'!$B$2:$AZ$2,0))%</f>
        <v>#N/A</v>
      </c>
      <c r="AE130" s="152">
        <v>0.92</v>
      </c>
      <c r="AF130" s="152"/>
      <c r="AG130" s="153"/>
      <c r="AH130" s="154" t="e">
        <f>ROUND(((($BT$6*$BW$5*(C129*0.001)*D130)/1000)/AF130), 2)</f>
        <v>#DIV/0!</v>
      </c>
      <c r="AI130" s="24" t="e">
        <f t="shared" ref="AI130:AI135" si="179">ROUND((AH130/AD130),2)</f>
        <v>#DIV/0!</v>
      </c>
      <c r="AJ130" s="239" t="e">
        <f t="shared" si="105"/>
        <v>#DIV/0!</v>
      </c>
      <c r="AK130" s="218"/>
      <c r="AL130" s="346" t="s">
        <v>62</v>
      </c>
      <c r="AM130" s="98">
        <v>37</v>
      </c>
      <c r="AN130" s="98" t="s">
        <v>35</v>
      </c>
      <c r="AO130" s="347">
        <f>INDEX('WEG Motor'!$B$3:$AZ$55,
       MATCH(AM130,'WEG Motor'!$A$3:$A$55,0),
       MATCH(AN130,'WEG Motor'!$B$2:$AZ$2,0))%</f>
        <v>0.93900000000000006</v>
      </c>
      <c r="AP130" s="347">
        <v>0.92</v>
      </c>
      <c r="AQ130" s="347">
        <v>0.80520000000000003</v>
      </c>
      <c r="AR130" s="348">
        <v>5.8029999999999999</v>
      </c>
      <c r="AS130" s="349">
        <f>ROUND(((($BT$6*$BW$5*(C129*0.001)*D130)/1000)/AQ130), 2)</f>
        <v>33.619999999999997</v>
      </c>
      <c r="AT130" s="98">
        <f t="shared" ref="AT130:AT135" si="180">ROUND((AS130/AO130),2)</f>
        <v>35.799999999999997</v>
      </c>
      <c r="AU130" s="350">
        <f t="shared" si="107"/>
        <v>38.909999999999997</v>
      </c>
      <c r="AV130" s="351" t="s">
        <v>159</v>
      </c>
      <c r="AW130" s="229"/>
      <c r="AX130" s="12"/>
      <c r="AY130" s="12"/>
      <c r="AZ130" s="158" t="e">
        <f>INDEX('WEG Motor'!$B$3:$AZ$55,
       MATCH(AX130,'WEG Motor'!$A$3:$A$55,0),
       MATCH(AY130,'WEG Motor'!$B$2:$AZ$2,0))%</f>
        <v>#N/A</v>
      </c>
      <c r="BA130" s="158">
        <v>0.92</v>
      </c>
      <c r="BB130" s="158"/>
      <c r="BC130" s="159"/>
      <c r="BD130" s="160" t="e">
        <f>ROUND(((($BT$6*$BW$5*(C129*0.001)*D130)/1000)/BB130), 2)</f>
        <v>#DIV/0!</v>
      </c>
      <c r="BE130" s="12" t="e">
        <f t="shared" ref="BE130:BE135" si="181">ROUND((BD130/AZ130),2)</f>
        <v>#DIV/0!</v>
      </c>
      <c r="BF130" s="241" t="e">
        <f t="shared" si="109"/>
        <v>#DIV/0!</v>
      </c>
      <c r="BG130" s="230"/>
      <c r="BH130" s="234"/>
      <c r="BI130" s="22"/>
      <c r="BJ130" s="22"/>
      <c r="BK130" s="161" t="e">
        <f>INDEX('WEG Motor'!$B$3:$AZ$55,
       MATCH(BI130,'WEG Motor'!$A$3:$A$55,0),
       MATCH(BJ130,'WEG Motor'!$B$2:$AZ$2,0))%</f>
        <v>#N/A</v>
      </c>
      <c r="BL130" s="161">
        <v>0.92</v>
      </c>
      <c r="BM130" s="161"/>
      <c r="BN130" s="162"/>
      <c r="BO130" s="163" t="e">
        <f>ROUND(((($BT$6*$BW$5*(C129*0.001)*D130)/1000)/BM130), 2)</f>
        <v>#DIV/0!</v>
      </c>
      <c r="BP130" s="22" t="e">
        <f t="shared" ref="BP130:BP135" si="182">ROUND((BO130/BK130),2)</f>
        <v>#DIV/0!</v>
      </c>
      <c r="BQ130" s="242" t="e">
        <f t="shared" ref="BQ130:BQ135" si="183">ROUND((BP130/BL130), 2)</f>
        <v>#DIV/0!</v>
      </c>
      <c r="BR130" s="193"/>
    </row>
    <row r="131" spans="1:70" x14ac:dyDescent="0.3">
      <c r="A131" s="309"/>
      <c r="B131" s="309"/>
      <c r="C131" s="312"/>
      <c r="D131" s="164">
        <v>25</v>
      </c>
      <c r="E131" s="166"/>
      <c r="F131" s="146"/>
      <c r="G131" s="146"/>
      <c r="H131" s="147" t="e">
        <f>INDEX('WEG Motor'!$B$3:$AZ$55,
       MATCH(F131,'WEG Motor'!$A$3:$A$55,0),
       MATCH(G131,'WEG Motor'!$B$2:$AZ$2,0))%</f>
        <v>#N/A</v>
      </c>
      <c r="I131" s="147">
        <v>0.92</v>
      </c>
      <c r="J131" s="283"/>
      <c r="K131" s="148"/>
      <c r="L131" s="286" t="e">
        <f>ROUND(((($BT$6*$BW$5*(C129*0.001)*D131)/1000)/J131), 2)</f>
        <v>#DIV/0!</v>
      </c>
      <c r="M131" s="146" t="e">
        <f t="shared" si="177"/>
        <v>#DIV/0!</v>
      </c>
      <c r="N131" s="237" t="e">
        <f t="shared" si="101"/>
        <v>#DIV/0!</v>
      </c>
      <c r="O131" s="167"/>
      <c r="P131" s="211"/>
      <c r="Q131" s="23"/>
      <c r="R131" s="23"/>
      <c r="S131" s="149" t="e">
        <f>INDEX('WEG Motor'!$B$3:$AZ$55,
       MATCH(Q131,'WEG Motor'!$A$3:$A$55,0),
       MATCH(R131,'WEG Motor'!$B$2:$AZ$2,0))%</f>
        <v>#N/A</v>
      </c>
      <c r="T131" s="149">
        <v>0.92</v>
      </c>
      <c r="U131" s="149"/>
      <c r="V131" s="150"/>
      <c r="W131" s="151" t="e">
        <f>ROUND(((($BT$6*$BW$5*(C129*0.001)*D131)/1000)/U131), 2)</f>
        <v>#DIV/0!</v>
      </c>
      <c r="X131" s="23" t="e">
        <f t="shared" si="178"/>
        <v>#DIV/0!</v>
      </c>
      <c r="Y131" s="238" t="e">
        <f t="shared" si="103"/>
        <v>#DIV/0!</v>
      </c>
      <c r="Z131" s="212"/>
      <c r="AA131" s="217"/>
      <c r="AB131" s="24"/>
      <c r="AC131" s="24"/>
      <c r="AD131" s="152" t="e">
        <f>INDEX('WEG Motor'!$B$3:$AZ$55,
       MATCH(AB131,'WEG Motor'!$A$3:$A$55,0),
       MATCH(AC131,'WEG Motor'!$B$2:$AZ$2,0))%</f>
        <v>#N/A</v>
      </c>
      <c r="AE131" s="152">
        <v>0.92</v>
      </c>
      <c r="AF131" s="152"/>
      <c r="AG131" s="153"/>
      <c r="AH131" s="154" t="e">
        <f>ROUND(((($BT$6*$BW$5*(C129*0.001)*D131)/1000)/AF131), 2)</f>
        <v>#DIV/0!</v>
      </c>
      <c r="AI131" s="24" t="e">
        <f t="shared" si="179"/>
        <v>#DIV/0!</v>
      </c>
      <c r="AJ131" s="239" t="e">
        <f t="shared" si="105"/>
        <v>#DIV/0!</v>
      </c>
      <c r="AK131" s="218"/>
      <c r="AL131" s="223" t="s">
        <v>65</v>
      </c>
      <c r="AM131" s="25">
        <v>45</v>
      </c>
      <c r="AN131" s="25" t="s">
        <v>35</v>
      </c>
      <c r="AO131" s="155">
        <f>INDEX('WEG Motor'!$B$3:$AZ$55,
       MATCH(AM131,'WEG Motor'!$A$3:$A$55,0),
       MATCH(AN131,'WEG Motor'!$B$2:$AZ$2,0))%</f>
        <v>0.94200000000000006</v>
      </c>
      <c r="AP131" s="155">
        <v>0.92</v>
      </c>
      <c r="AQ131" s="155">
        <v>0.82499999999999996</v>
      </c>
      <c r="AR131" s="156">
        <v>5.8029999999999999</v>
      </c>
      <c r="AS131" s="157">
        <f>ROUND(((($BT$6*$BW$5*(C129*0.001)*D131)/1000)/AQ131), 2)</f>
        <v>41.01</v>
      </c>
      <c r="AT131" s="25">
        <f t="shared" si="180"/>
        <v>43.54</v>
      </c>
      <c r="AU131" s="240">
        <f t="shared" si="107"/>
        <v>47.33</v>
      </c>
      <c r="AV131" s="224" t="s">
        <v>154</v>
      </c>
      <c r="AW131" s="229"/>
      <c r="AX131" s="12"/>
      <c r="AY131" s="12"/>
      <c r="AZ131" s="158" t="e">
        <f>INDEX('WEG Motor'!$B$3:$AZ$55,
       MATCH(AX131,'WEG Motor'!$A$3:$A$55,0),
       MATCH(AY131,'WEG Motor'!$B$2:$AZ$2,0))%</f>
        <v>#N/A</v>
      </c>
      <c r="BA131" s="158">
        <v>0.92</v>
      </c>
      <c r="BB131" s="158"/>
      <c r="BC131" s="159"/>
      <c r="BD131" s="160" t="e">
        <f>ROUND(((($BT$6*$BW$5*(C129*0.001)*D131)/1000)/BB131), 2)</f>
        <v>#DIV/0!</v>
      </c>
      <c r="BE131" s="12" t="e">
        <f t="shared" si="181"/>
        <v>#DIV/0!</v>
      </c>
      <c r="BF131" s="241" t="e">
        <f t="shared" si="109"/>
        <v>#DIV/0!</v>
      </c>
      <c r="BG131" s="230"/>
      <c r="BH131" s="234"/>
      <c r="BI131" s="22"/>
      <c r="BJ131" s="22"/>
      <c r="BK131" s="161" t="e">
        <f>INDEX('WEG Motor'!$B$3:$AZ$55,
       MATCH(BI131,'WEG Motor'!$A$3:$A$55,0),
       MATCH(BJ131,'WEG Motor'!$B$2:$AZ$2,0))%</f>
        <v>#N/A</v>
      </c>
      <c r="BL131" s="161">
        <v>0.92</v>
      </c>
      <c r="BM131" s="161"/>
      <c r="BN131" s="162"/>
      <c r="BO131" s="163" t="e">
        <f>ROUND(((($BT$6*$BW$5*(C129*0.001)*D131)/1000)/BM131), 2)</f>
        <v>#DIV/0!</v>
      </c>
      <c r="BP131" s="22" t="e">
        <f t="shared" si="182"/>
        <v>#DIV/0!</v>
      </c>
      <c r="BQ131" s="242" t="e">
        <f t="shared" si="183"/>
        <v>#DIV/0!</v>
      </c>
      <c r="BR131" s="193"/>
    </row>
    <row r="132" spans="1:70" ht="28.8" x14ac:dyDescent="0.3">
      <c r="A132" s="309"/>
      <c r="B132" s="309"/>
      <c r="C132" s="312"/>
      <c r="D132" s="164">
        <v>30</v>
      </c>
      <c r="E132" s="166"/>
      <c r="F132" s="146"/>
      <c r="G132" s="146"/>
      <c r="H132" s="147" t="e">
        <f>INDEX('WEG Motor'!$B$3:$AZ$55,
       MATCH(F132,'WEG Motor'!$A$3:$A$55,0),
       MATCH(G132,'WEG Motor'!$B$2:$AZ$2,0))%</f>
        <v>#N/A</v>
      </c>
      <c r="I132" s="147">
        <v>0.92</v>
      </c>
      <c r="J132" s="283"/>
      <c r="K132" s="148"/>
      <c r="L132" s="286" t="e">
        <f>ROUND(((($BT$6*$BW$5*(C129*0.001)*D132)/1000)/J132), 2)</f>
        <v>#DIV/0!</v>
      </c>
      <c r="M132" s="146" t="e">
        <f t="shared" si="177"/>
        <v>#DIV/0!</v>
      </c>
      <c r="N132" s="237" t="e">
        <f t="shared" si="101"/>
        <v>#DIV/0!</v>
      </c>
      <c r="O132" s="167"/>
      <c r="P132" s="211"/>
      <c r="Q132" s="23"/>
      <c r="R132" s="23"/>
      <c r="S132" s="149" t="e">
        <f>INDEX('WEG Motor'!$B$3:$AZ$55,
       MATCH(Q132,'WEG Motor'!$A$3:$A$55,0),
       MATCH(R132,'WEG Motor'!$B$2:$AZ$2,0))%</f>
        <v>#N/A</v>
      </c>
      <c r="T132" s="149">
        <v>0.92</v>
      </c>
      <c r="U132" s="149"/>
      <c r="V132" s="150"/>
      <c r="W132" s="151" t="e">
        <f>ROUND(((($BT$6*$BW$5*(C129*0.001)*D132)/1000)/U132), 2)</f>
        <v>#DIV/0!</v>
      </c>
      <c r="X132" s="23" t="e">
        <f t="shared" si="178"/>
        <v>#DIV/0!</v>
      </c>
      <c r="Y132" s="238" t="e">
        <f t="shared" si="103"/>
        <v>#DIV/0!</v>
      </c>
      <c r="Z132" s="212"/>
      <c r="AA132" s="217"/>
      <c r="AB132" s="24"/>
      <c r="AC132" s="24"/>
      <c r="AD132" s="152" t="e">
        <f>INDEX('WEG Motor'!$B$3:$AZ$55,
       MATCH(AB132,'WEG Motor'!$A$3:$A$55,0),
       MATCH(AC132,'WEG Motor'!$B$2:$AZ$2,0))%</f>
        <v>#N/A</v>
      </c>
      <c r="AE132" s="152">
        <v>0.92</v>
      </c>
      <c r="AF132" s="152"/>
      <c r="AG132" s="153"/>
      <c r="AH132" s="154" t="e">
        <f>ROUND(((($BT$6*$BW$5*(C129*0.001)*D132)/1000)/AF132), 2)</f>
        <v>#DIV/0!</v>
      </c>
      <c r="AI132" s="24" t="e">
        <f t="shared" si="179"/>
        <v>#DIV/0!</v>
      </c>
      <c r="AJ132" s="239" t="e">
        <f t="shared" si="105"/>
        <v>#DIV/0!</v>
      </c>
      <c r="AK132" s="218"/>
      <c r="AL132" s="346" t="s">
        <v>87</v>
      </c>
      <c r="AM132" s="98">
        <v>55</v>
      </c>
      <c r="AN132" s="98" t="s">
        <v>35</v>
      </c>
      <c r="AO132" s="347">
        <f>INDEX('WEG Motor'!$B$3:$AZ$55,
       MATCH(AM132,'WEG Motor'!$A$3:$A$55,0),
       MATCH(AN132,'WEG Motor'!$B$2:$AZ$2,0))%</f>
        <v>0.94599999999999995</v>
      </c>
      <c r="AP132" s="347">
        <v>0.92</v>
      </c>
      <c r="AQ132" s="347">
        <v>0.82930000000000004</v>
      </c>
      <c r="AR132" s="348">
        <v>5.8010000000000002</v>
      </c>
      <c r="AS132" s="349">
        <f>ROUND(((($BT$6*$BW$5*(C129*0.001)*D132)/1000)/AQ132), 2)</f>
        <v>48.96</v>
      </c>
      <c r="AT132" s="98">
        <f t="shared" si="180"/>
        <v>51.75</v>
      </c>
      <c r="AU132" s="350">
        <f t="shared" si="107"/>
        <v>56.25</v>
      </c>
      <c r="AV132" s="351" t="s">
        <v>156</v>
      </c>
      <c r="AW132" s="229"/>
      <c r="AX132" s="12"/>
      <c r="AY132" s="12"/>
      <c r="AZ132" s="158" t="e">
        <f>INDEX('WEG Motor'!$B$3:$AZ$55,
       MATCH(AX132,'WEG Motor'!$A$3:$A$55,0),
       MATCH(AY132,'WEG Motor'!$B$2:$AZ$2,0))%</f>
        <v>#N/A</v>
      </c>
      <c r="BA132" s="158">
        <v>0.92</v>
      </c>
      <c r="BB132" s="158"/>
      <c r="BC132" s="159"/>
      <c r="BD132" s="160" t="e">
        <f>ROUND(((($BT$6*$BW$5*(C129*0.001)*D132)/1000)/BB132), 2)</f>
        <v>#DIV/0!</v>
      </c>
      <c r="BE132" s="12" t="e">
        <f t="shared" si="181"/>
        <v>#DIV/0!</v>
      </c>
      <c r="BF132" s="241" t="e">
        <f t="shared" si="109"/>
        <v>#DIV/0!</v>
      </c>
      <c r="BG132" s="230"/>
      <c r="BH132" s="234"/>
      <c r="BI132" s="22"/>
      <c r="BJ132" s="22"/>
      <c r="BK132" s="161" t="e">
        <f>INDEX('WEG Motor'!$B$3:$AZ$55,
       MATCH(BI132,'WEG Motor'!$A$3:$A$55,0),
       MATCH(BJ132,'WEG Motor'!$B$2:$AZ$2,0))%</f>
        <v>#N/A</v>
      </c>
      <c r="BL132" s="161">
        <v>0.92</v>
      </c>
      <c r="BM132" s="161"/>
      <c r="BN132" s="162"/>
      <c r="BO132" s="163" t="e">
        <f>ROUND(((($BT$6*$BW$5*(C129*0.001)*D132)/1000)/BM132), 2)</f>
        <v>#DIV/0!</v>
      </c>
      <c r="BP132" s="22" t="e">
        <f t="shared" si="182"/>
        <v>#DIV/0!</v>
      </c>
      <c r="BQ132" s="242" t="e">
        <f t="shared" si="183"/>
        <v>#DIV/0!</v>
      </c>
      <c r="BR132" s="193"/>
    </row>
    <row r="133" spans="1:70" x14ac:dyDescent="0.3">
      <c r="A133" s="309"/>
      <c r="B133" s="309"/>
      <c r="C133" s="312"/>
      <c r="D133" s="164">
        <v>35</v>
      </c>
      <c r="E133" s="166"/>
      <c r="F133" s="146"/>
      <c r="G133" s="146"/>
      <c r="H133" s="147" t="e">
        <f>INDEX('WEG Motor'!$B$3:$AZ$55,
       MATCH(F133,'WEG Motor'!$A$3:$A$55,0),
       MATCH(G133,'WEG Motor'!$B$2:$AZ$2,0))%</f>
        <v>#N/A</v>
      </c>
      <c r="I133" s="147">
        <v>0.92</v>
      </c>
      <c r="J133" s="283"/>
      <c r="K133" s="148"/>
      <c r="L133" s="286" t="e">
        <f t="shared" ref="L133:L135" si="184">ROUND(((($BT$6*$BW$5*(C133*0.001)*D133)/1000)/J133), 2)</f>
        <v>#DIV/0!</v>
      </c>
      <c r="M133" s="146" t="e">
        <f t="shared" si="177"/>
        <v>#DIV/0!</v>
      </c>
      <c r="N133" s="237" t="e">
        <f t="shared" si="101"/>
        <v>#DIV/0!</v>
      </c>
      <c r="O133" s="167"/>
      <c r="P133" s="211"/>
      <c r="Q133" s="23"/>
      <c r="R133" s="23"/>
      <c r="S133" s="149" t="e">
        <f>INDEX('WEG Motor'!$B$3:$AZ$55,
       MATCH(Q133,'WEG Motor'!$A$3:$A$55,0),
       MATCH(R133,'WEG Motor'!$B$2:$AZ$2,0))%</f>
        <v>#N/A</v>
      </c>
      <c r="T133" s="149">
        <v>0.92</v>
      </c>
      <c r="U133" s="149"/>
      <c r="V133" s="150"/>
      <c r="W133" s="151" t="e">
        <f>ROUND(((($BT$6*$BW$5*(C129*0.001)*D133)/1000)/U133), 2)</f>
        <v>#DIV/0!</v>
      </c>
      <c r="X133" s="23" t="e">
        <f t="shared" si="178"/>
        <v>#DIV/0!</v>
      </c>
      <c r="Y133" s="238" t="e">
        <f t="shared" si="103"/>
        <v>#DIV/0!</v>
      </c>
      <c r="Z133" s="212"/>
      <c r="AA133" s="217"/>
      <c r="AB133" s="24"/>
      <c r="AC133" s="24"/>
      <c r="AD133" s="152" t="e">
        <f>INDEX('WEG Motor'!$B$3:$AZ$55,
       MATCH(AB133,'WEG Motor'!$A$3:$A$55,0),
       MATCH(AC133,'WEG Motor'!$B$2:$AZ$2,0))%</f>
        <v>#N/A</v>
      </c>
      <c r="AE133" s="152">
        <v>0.92</v>
      </c>
      <c r="AF133" s="152"/>
      <c r="AG133" s="153"/>
      <c r="AH133" s="154" t="e">
        <f>ROUND(((($BT$6*$BW$5*(C129*0.001)*D133)/1000)/AF133), 2)</f>
        <v>#DIV/0!</v>
      </c>
      <c r="AI133" s="24" t="e">
        <f t="shared" si="179"/>
        <v>#DIV/0!</v>
      </c>
      <c r="AJ133" s="239" t="e">
        <f t="shared" si="105"/>
        <v>#DIV/0!</v>
      </c>
      <c r="AK133" s="218"/>
      <c r="AL133" s="223" t="s">
        <v>155</v>
      </c>
      <c r="AM133" s="25">
        <v>75</v>
      </c>
      <c r="AN133" s="25" t="s">
        <v>35</v>
      </c>
      <c r="AO133" s="155">
        <f>INDEX('WEG Motor'!$B$3:$AZ$55,
       MATCH(AM133,'WEG Motor'!$A$3:$A$55,0),
       MATCH(AN133,'WEG Motor'!$B$2:$AZ$2,0))%</f>
        <v>0.95</v>
      </c>
      <c r="AP133" s="155">
        <v>0.92</v>
      </c>
      <c r="AQ133" s="155">
        <v>0.82320000000000004</v>
      </c>
      <c r="AR133" s="156">
        <v>5.3979999999999997</v>
      </c>
      <c r="AS133" s="157">
        <f>ROUND(((($BT$6*$BW$5*(C129*0.001)*D133)/1000)/AQ133), 2)</f>
        <v>57.55</v>
      </c>
      <c r="AT133" s="25">
        <f t="shared" si="180"/>
        <v>60.58</v>
      </c>
      <c r="AU133" s="240">
        <f t="shared" si="107"/>
        <v>65.849999999999994</v>
      </c>
      <c r="AV133" s="224" t="s">
        <v>154</v>
      </c>
      <c r="AW133" s="229"/>
      <c r="AX133" s="12"/>
      <c r="AY133" s="12"/>
      <c r="AZ133" s="158" t="e">
        <f>INDEX('WEG Motor'!$B$3:$AZ$55,
       MATCH(AX133,'WEG Motor'!$A$3:$A$55,0),
       MATCH(AY133,'WEG Motor'!$B$2:$AZ$2,0))%</f>
        <v>#N/A</v>
      </c>
      <c r="BA133" s="158">
        <v>0.92</v>
      </c>
      <c r="BB133" s="158"/>
      <c r="BC133" s="159"/>
      <c r="BD133" s="160" t="e">
        <f>ROUND(((($BT$6*$BW$5*(C129*0.001)*D133)/1000)/BB133), 2)</f>
        <v>#DIV/0!</v>
      </c>
      <c r="BE133" s="12" t="e">
        <f t="shared" si="181"/>
        <v>#DIV/0!</v>
      </c>
      <c r="BF133" s="241" t="e">
        <f t="shared" si="109"/>
        <v>#DIV/0!</v>
      </c>
      <c r="BG133" s="230"/>
      <c r="BH133" s="234"/>
      <c r="BI133" s="22"/>
      <c r="BJ133" s="22"/>
      <c r="BK133" s="161" t="e">
        <f>INDEX('WEG Motor'!$B$3:$AZ$55,
       MATCH(BI133,'WEG Motor'!$A$3:$A$55,0),
       MATCH(BJ133,'WEG Motor'!$B$2:$AZ$2,0))%</f>
        <v>#N/A</v>
      </c>
      <c r="BL133" s="161">
        <v>0.92</v>
      </c>
      <c r="BM133" s="161"/>
      <c r="BN133" s="162"/>
      <c r="BO133" s="163" t="e">
        <f>ROUND(((($BT$6*$BW$5*(C129*0.001)*D133)/1000)/BM133), 2)</f>
        <v>#DIV/0!</v>
      </c>
      <c r="BP133" s="22" t="e">
        <f t="shared" si="182"/>
        <v>#DIV/0!</v>
      </c>
      <c r="BQ133" s="242" t="e">
        <f t="shared" si="183"/>
        <v>#DIV/0!</v>
      </c>
      <c r="BR133" s="193"/>
    </row>
    <row r="134" spans="1:70" x14ac:dyDescent="0.3">
      <c r="A134" s="309"/>
      <c r="B134" s="309"/>
      <c r="C134" s="312"/>
      <c r="D134" s="164">
        <v>40</v>
      </c>
      <c r="E134" s="166"/>
      <c r="F134" s="146"/>
      <c r="G134" s="146"/>
      <c r="H134" s="147" t="e">
        <f>INDEX('WEG Motor'!$B$3:$AZ$55,
       MATCH(F134,'WEG Motor'!$A$3:$A$55,0),
       MATCH(G134,'WEG Motor'!$B$2:$AZ$2,0))%</f>
        <v>#N/A</v>
      </c>
      <c r="I134" s="147">
        <v>0.92</v>
      </c>
      <c r="J134" s="283"/>
      <c r="K134" s="148"/>
      <c r="L134" s="286" t="e">
        <f>ROUND(((($BT$6*$BW$5*(C129*0.001)*D134)/1000)/J134), 2)</f>
        <v>#DIV/0!</v>
      </c>
      <c r="M134" s="146" t="e">
        <f t="shared" si="177"/>
        <v>#DIV/0!</v>
      </c>
      <c r="N134" s="237" t="e">
        <f t="shared" si="101"/>
        <v>#DIV/0!</v>
      </c>
      <c r="O134" s="167"/>
      <c r="P134" s="211"/>
      <c r="Q134" s="23"/>
      <c r="R134" s="23"/>
      <c r="S134" s="149" t="e">
        <f>INDEX('WEG Motor'!$B$3:$AZ$55,
       MATCH(Q134,'WEG Motor'!$A$3:$A$55,0),
       MATCH(R134,'WEG Motor'!$B$2:$AZ$2,0))%</f>
        <v>#N/A</v>
      </c>
      <c r="T134" s="149">
        <v>0.92</v>
      </c>
      <c r="U134" s="149"/>
      <c r="V134" s="150"/>
      <c r="W134" s="151" t="e">
        <f>ROUND(((($BT$6*$BW$5*(C129*0.001)*D134)/1000)/U134), 2)</f>
        <v>#DIV/0!</v>
      </c>
      <c r="X134" s="23" t="e">
        <f t="shared" si="178"/>
        <v>#DIV/0!</v>
      </c>
      <c r="Y134" s="238" t="e">
        <f t="shared" si="103"/>
        <v>#DIV/0!</v>
      </c>
      <c r="Z134" s="212"/>
      <c r="AA134" s="217"/>
      <c r="AB134" s="24"/>
      <c r="AC134" s="24"/>
      <c r="AD134" s="152" t="e">
        <f>INDEX('WEG Motor'!$B$3:$AZ$55,
       MATCH(AB134,'WEG Motor'!$A$3:$A$55,0),
       MATCH(AC134,'WEG Motor'!$B$2:$AZ$2,0))%</f>
        <v>#N/A</v>
      </c>
      <c r="AE134" s="152">
        <v>0.92</v>
      </c>
      <c r="AF134" s="152"/>
      <c r="AG134" s="153"/>
      <c r="AH134" s="154" t="e">
        <f>ROUND(((($BT$6*$BW$5*(C129*0.001)*D134)/1000)/AF134), 2)</f>
        <v>#DIV/0!</v>
      </c>
      <c r="AI134" s="24" t="e">
        <f t="shared" si="179"/>
        <v>#DIV/0!</v>
      </c>
      <c r="AJ134" s="239" t="e">
        <f t="shared" si="105"/>
        <v>#DIV/0!</v>
      </c>
      <c r="AK134" s="218"/>
      <c r="AL134" s="223" t="s">
        <v>155</v>
      </c>
      <c r="AM134" s="25">
        <v>75</v>
      </c>
      <c r="AN134" s="25" t="s">
        <v>35</v>
      </c>
      <c r="AO134" s="155">
        <f>INDEX('WEG Motor'!$B$3:$AZ$55,
       MATCH(AM134,'WEG Motor'!$A$3:$A$55,0),
       MATCH(AN134,'WEG Motor'!$B$2:$AZ$2,0))%</f>
        <v>0.95</v>
      </c>
      <c r="AP134" s="155">
        <v>0.92</v>
      </c>
      <c r="AQ134" s="155">
        <v>0.83230000000000004</v>
      </c>
      <c r="AR134" s="156">
        <v>5.3979999999999997</v>
      </c>
      <c r="AS134" s="157">
        <f>ROUND(((($BT$6*$BW$5*(C129*0.001)*D134)/1000)/AQ134), 2)</f>
        <v>65.05</v>
      </c>
      <c r="AT134" s="25">
        <f t="shared" si="180"/>
        <v>68.47</v>
      </c>
      <c r="AU134" s="240">
        <f t="shared" si="107"/>
        <v>74.42</v>
      </c>
      <c r="AV134" s="224" t="s">
        <v>154</v>
      </c>
      <c r="AW134" s="229"/>
      <c r="AX134" s="12"/>
      <c r="AY134" s="12"/>
      <c r="AZ134" s="158" t="e">
        <f>INDEX('WEG Motor'!$B$3:$AZ$55,
       MATCH(AX134,'WEG Motor'!$A$3:$A$55,0),
       MATCH(AY134,'WEG Motor'!$B$2:$AZ$2,0))%</f>
        <v>#N/A</v>
      </c>
      <c r="BA134" s="158">
        <v>0.92</v>
      </c>
      <c r="BB134" s="158"/>
      <c r="BC134" s="159"/>
      <c r="BD134" s="160" t="e">
        <f>ROUND(((($BT$6*$BW$5*(C129*0.001)*D134)/1000)/BB134), 2)</f>
        <v>#DIV/0!</v>
      </c>
      <c r="BE134" s="12" t="e">
        <f t="shared" si="181"/>
        <v>#DIV/0!</v>
      </c>
      <c r="BF134" s="241" t="e">
        <f t="shared" si="109"/>
        <v>#DIV/0!</v>
      </c>
      <c r="BG134" s="230"/>
      <c r="BH134" s="234"/>
      <c r="BI134" s="22"/>
      <c r="BJ134" s="22"/>
      <c r="BK134" s="161" t="e">
        <f>INDEX('WEG Motor'!$B$3:$AZ$55,
       MATCH(BI134,'WEG Motor'!$A$3:$A$55,0),
       MATCH(BJ134,'WEG Motor'!$B$2:$AZ$2,0))%</f>
        <v>#N/A</v>
      </c>
      <c r="BL134" s="161">
        <v>0.92</v>
      </c>
      <c r="BM134" s="161"/>
      <c r="BN134" s="162"/>
      <c r="BO134" s="163" t="e">
        <f>ROUND(((($BT$6*$BW$5*(C129*0.001)*D134)/1000)/BM134), 2)</f>
        <v>#DIV/0!</v>
      </c>
      <c r="BP134" s="22" t="e">
        <f t="shared" si="182"/>
        <v>#DIV/0!</v>
      </c>
      <c r="BQ134" s="242" t="e">
        <f t="shared" si="183"/>
        <v>#DIV/0!</v>
      </c>
      <c r="BR134" s="193"/>
    </row>
    <row r="135" spans="1:70" ht="15" thickBot="1" x14ac:dyDescent="0.35">
      <c r="A135" s="310"/>
      <c r="B135" s="310"/>
      <c r="C135" s="313"/>
      <c r="D135" s="165">
        <v>45</v>
      </c>
      <c r="E135" s="168"/>
      <c r="F135" s="169"/>
      <c r="G135" s="169"/>
      <c r="H135" s="170" t="e">
        <f>INDEX('WEG Motor'!$B$3:$AZ$55,
       MATCH(F135,'WEG Motor'!$A$3:$A$55,0),
       MATCH(G135,'WEG Motor'!$B$2:$AZ$2,0))%</f>
        <v>#N/A</v>
      </c>
      <c r="I135" s="170">
        <v>0.92</v>
      </c>
      <c r="J135" s="284"/>
      <c r="K135" s="171"/>
      <c r="L135" s="287" t="e">
        <f>ROUND(((($BT$6*$BW$5*(C129*0.001)*D135)/1000)/J135), 2)</f>
        <v>#DIV/0!</v>
      </c>
      <c r="M135" s="169" t="e">
        <f t="shared" si="177"/>
        <v>#DIV/0!</v>
      </c>
      <c r="N135" s="247" t="e">
        <f t="shared" si="101"/>
        <v>#DIV/0!</v>
      </c>
      <c r="O135" s="172"/>
      <c r="P135" s="213"/>
      <c r="Q135" s="194"/>
      <c r="R135" s="194"/>
      <c r="S135" s="195" t="e">
        <f>INDEX('WEG Motor'!$B$3:$AZ$55,
       MATCH(Q135,'WEG Motor'!$A$3:$A$55,0),
       MATCH(R135,'WEG Motor'!$B$2:$AZ$2,0))%</f>
        <v>#N/A</v>
      </c>
      <c r="T135" s="195">
        <v>0.92</v>
      </c>
      <c r="U135" s="195"/>
      <c r="V135" s="196"/>
      <c r="W135" s="140" t="e">
        <f>ROUND(((($BT$6*$BW$5*(C129*0.001)*D135)/1000)/U135), 2)</f>
        <v>#DIV/0!</v>
      </c>
      <c r="X135" s="194" t="e">
        <f t="shared" si="178"/>
        <v>#DIV/0!</v>
      </c>
      <c r="Y135" s="246" t="e">
        <f t="shared" si="103"/>
        <v>#DIV/0!</v>
      </c>
      <c r="Z135" s="214"/>
      <c r="AA135" s="219"/>
      <c r="AB135" s="197"/>
      <c r="AC135" s="197"/>
      <c r="AD135" s="198" t="e">
        <f>INDEX('WEG Motor'!$B$3:$AZ$55,
       MATCH(AB135,'WEG Motor'!$A$3:$A$55,0),
       MATCH(AC135,'WEG Motor'!$B$2:$AZ$2,0))%</f>
        <v>#N/A</v>
      </c>
      <c r="AE135" s="198">
        <v>0.92</v>
      </c>
      <c r="AF135" s="198"/>
      <c r="AG135" s="199"/>
      <c r="AH135" s="141" t="e">
        <f>ROUND(((($BT$6*$BW$5*(C129*0.001)*D135)/1000)/AF135), 2)</f>
        <v>#DIV/0!</v>
      </c>
      <c r="AI135" s="197" t="e">
        <f t="shared" si="179"/>
        <v>#DIV/0!</v>
      </c>
      <c r="AJ135" s="245" t="e">
        <f t="shared" si="105"/>
        <v>#DIV/0!</v>
      </c>
      <c r="AK135" s="220"/>
      <c r="AL135" s="225"/>
      <c r="AM135" s="200"/>
      <c r="AN135" s="200"/>
      <c r="AO135" s="201" t="e">
        <f>INDEX('WEG Motor'!$B$3:$AZ$55,
       MATCH(AM135,'WEG Motor'!$A$3:$A$55,0),
       MATCH(AN135,'WEG Motor'!$B$2:$AZ$2,0))%</f>
        <v>#N/A</v>
      </c>
      <c r="AP135" s="201">
        <v>0.92</v>
      </c>
      <c r="AQ135" s="201"/>
      <c r="AR135" s="202"/>
      <c r="AS135" s="142" t="e">
        <f>ROUND(((($BT$6*$BW$5*(C129*0.001)*D135)/1000)/AQ135), 2)</f>
        <v>#DIV/0!</v>
      </c>
      <c r="AT135" s="200" t="e">
        <f t="shared" si="180"/>
        <v>#DIV/0!</v>
      </c>
      <c r="AU135" s="244" t="e">
        <f t="shared" si="107"/>
        <v>#DIV/0!</v>
      </c>
      <c r="AV135" s="226" t="s">
        <v>153</v>
      </c>
      <c r="AW135" s="231"/>
      <c r="AX135" s="203"/>
      <c r="AY135" s="203"/>
      <c r="AZ135" s="204" t="e">
        <f>INDEX('WEG Motor'!$B$3:$AZ$55,
       MATCH(AX135,'WEG Motor'!$A$3:$A$55,0),
       MATCH(AY135,'WEG Motor'!$B$2:$AZ$2,0))%</f>
        <v>#N/A</v>
      </c>
      <c r="BA135" s="204">
        <v>0.92</v>
      </c>
      <c r="BB135" s="204"/>
      <c r="BC135" s="205"/>
      <c r="BD135" s="143" t="e">
        <f>ROUND(((($BT$6*$BW$5*(C129*0.001)*D135)/1000)/BB135), 2)</f>
        <v>#DIV/0!</v>
      </c>
      <c r="BE135" s="203" t="e">
        <f t="shared" si="181"/>
        <v>#DIV/0!</v>
      </c>
      <c r="BF135" s="243" t="e">
        <f t="shared" si="109"/>
        <v>#DIV/0!</v>
      </c>
      <c r="BG135" s="232"/>
      <c r="BH135" s="235"/>
      <c r="BI135" s="66"/>
      <c r="BJ135" s="66"/>
      <c r="BK135" s="206" t="e">
        <f>INDEX('WEG Motor'!$B$3:$AZ$55,
       MATCH(BI135,'WEG Motor'!$A$3:$A$55,0),
       MATCH(BJ135,'WEG Motor'!$B$2:$AZ$2,0))%</f>
        <v>#N/A</v>
      </c>
      <c r="BL135" s="206">
        <v>0.92</v>
      </c>
      <c r="BM135" s="206"/>
      <c r="BN135" s="207"/>
      <c r="BO135" s="144" t="e">
        <f>ROUND(((($BT$6*$BW$5*(C129*0.001)*D135)/1000)/BM135), 2)</f>
        <v>#DIV/0!</v>
      </c>
      <c r="BP135" s="292" t="e">
        <f t="shared" si="182"/>
        <v>#DIV/0!</v>
      </c>
      <c r="BQ135" s="293" t="e">
        <f t="shared" si="183"/>
        <v>#DIV/0!</v>
      </c>
      <c r="BR135" s="208"/>
    </row>
    <row r="136" spans="1:70" ht="28.8" x14ac:dyDescent="0.3">
      <c r="A136" s="308">
        <v>19</v>
      </c>
      <c r="B136" s="308">
        <v>1200</v>
      </c>
      <c r="C136" s="311">
        <f>ROUND((B136 * $BW$7 * 1000) / ($BT$6 * $BW$3 * $BW$4), 0)</f>
        <v>144</v>
      </c>
      <c r="D136" s="145">
        <v>15</v>
      </c>
      <c r="E136" s="173"/>
      <c r="F136" s="53"/>
      <c r="G136" s="53"/>
      <c r="H136" s="174" t="e">
        <f>INDEX('WEG Motor'!$B$3:$AZ$55,
       MATCH(F136,'WEG Motor'!$A$3:$A$55,0),
       MATCH(G136,'WEG Motor'!$B$2:$AZ$2,0))%</f>
        <v>#N/A</v>
      </c>
      <c r="I136" s="174">
        <v>0.92</v>
      </c>
      <c r="J136" s="282"/>
      <c r="K136" s="175"/>
      <c r="L136" s="285" t="e">
        <f t="shared" ref="L136:L140" si="185">ROUND(((($BT$6*$BW$5*(C136*0.001)*D136)/1000)/J136), 2)</f>
        <v>#DIV/0!</v>
      </c>
      <c r="M136" s="53" t="e">
        <f>ROUND((L136/H136),2)</f>
        <v>#DIV/0!</v>
      </c>
      <c r="N136" s="236" t="e">
        <f t="shared" si="101"/>
        <v>#DIV/0!</v>
      </c>
      <c r="O136" s="176"/>
      <c r="P136" s="209"/>
      <c r="Q136" s="177"/>
      <c r="R136" s="177"/>
      <c r="S136" s="178" t="e">
        <f>INDEX('WEG Motor'!$B$3:$AZ$55,
       MATCH(Q136,'WEG Motor'!$A$3:$A$55,0),
       MATCH(R136,'WEG Motor'!$B$2:$AZ$2,0))%</f>
        <v>#N/A</v>
      </c>
      <c r="T136" s="178">
        <v>0.92</v>
      </c>
      <c r="U136" s="178"/>
      <c r="V136" s="179"/>
      <c r="W136" s="297" t="e">
        <f>ROUND(((($BT$6*$BW$5*(C136*0.001)*D136)/1000)/U136), 2)</f>
        <v>#DIV/0!</v>
      </c>
      <c r="X136" s="177" t="e">
        <f>ROUND((W136/S136),2)</f>
        <v>#DIV/0!</v>
      </c>
      <c r="Y136" s="276" t="e">
        <f t="shared" si="103"/>
        <v>#DIV/0!</v>
      </c>
      <c r="Z136" s="210"/>
      <c r="AA136" s="215"/>
      <c r="AB136" s="180"/>
      <c r="AC136" s="180"/>
      <c r="AD136" s="181" t="e">
        <f>INDEX('WEG Motor'!$B$3:$AZ$55,
       MATCH(AB136,'WEG Motor'!$A$3:$A$55,0),
       MATCH(AC136,'WEG Motor'!$B$2:$AZ$2,0))%</f>
        <v>#N/A</v>
      </c>
      <c r="AE136" s="181">
        <v>0.92</v>
      </c>
      <c r="AF136" s="181"/>
      <c r="AG136" s="182"/>
      <c r="AH136" s="296" t="e">
        <f>ROUND(((($BT$6*$BW$5*(C136*0.001)*D136)/1000)/AF136), 2)</f>
        <v>#DIV/0!</v>
      </c>
      <c r="AI136" s="180" t="e">
        <f>ROUND((AH136/AD136),2)</f>
        <v>#DIV/0!</v>
      </c>
      <c r="AJ136" s="277" t="e">
        <f t="shared" si="105"/>
        <v>#DIV/0!</v>
      </c>
      <c r="AK136" s="216"/>
      <c r="AL136" s="352" t="s">
        <v>158</v>
      </c>
      <c r="AM136" s="353">
        <v>30</v>
      </c>
      <c r="AN136" s="353" t="s">
        <v>35</v>
      </c>
      <c r="AO136" s="354">
        <f>INDEX('WEG Motor'!$B$3:$AZ$55,
       MATCH(AM136,'WEG Motor'!$A$3:$A$55,0),
       MATCH(AN136,'WEG Motor'!$B$2:$AZ$2,0))%</f>
        <v>0.93599999999999994</v>
      </c>
      <c r="AP136" s="354">
        <v>0.92</v>
      </c>
      <c r="AQ136" s="354">
        <v>0.81940000000000002</v>
      </c>
      <c r="AR136" s="355">
        <v>7.2190000000000003</v>
      </c>
      <c r="AS136" s="356">
        <f>ROUND(((($BT$6*$BW$5*(C136*0.001)*D136)/1000)/AQ136), 2)</f>
        <v>25.85</v>
      </c>
      <c r="AT136" s="353">
        <f>ROUND((AS136/AO136),2)</f>
        <v>27.62</v>
      </c>
      <c r="AU136" s="357">
        <f t="shared" si="107"/>
        <v>30.02</v>
      </c>
      <c r="AV136" s="358" t="s">
        <v>157</v>
      </c>
      <c r="AW136" s="227"/>
      <c r="AX136" s="186"/>
      <c r="AY136" s="186"/>
      <c r="AZ136" s="187" t="e">
        <f>INDEX('WEG Motor'!$B$3:$AZ$55,
       MATCH(AX136,'WEG Motor'!$A$3:$A$55,0),
       MATCH(AY136,'WEG Motor'!$B$2:$AZ$2,0))%</f>
        <v>#N/A</v>
      </c>
      <c r="BA136" s="187">
        <v>0.92</v>
      </c>
      <c r="BB136" s="187"/>
      <c r="BC136" s="188"/>
      <c r="BD136" s="294" t="e">
        <f>ROUND(((($BT$6*$BW$5*(C136*0.001)*D136)/1000)/BB136), 2)</f>
        <v>#DIV/0!</v>
      </c>
      <c r="BE136" s="186" t="e">
        <f>ROUND((BD136/AZ136),2)</f>
        <v>#DIV/0!</v>
      </c>
      <c r="BF136" s="279" t="e">
        <f t="shared" si="109"/>
        <v>#DIV/0!</v>
      </c>
      <c r="BG136" s="228"/>
      <c r="BH136" s="233"/>
      <c r="BI136" s="189"/>
      <c r="BJ136" s="189"/>
      <c r="BK136" s="190" t="e">
        <f>INDEX('WEG Motor'!$B$3:$AZ$55,
       MATCH(BI136,'WEG Motor'!$A$3:$A$55,0),
       MATCH(BJ136,'WEG Motor'!$B$2:$AZ$2,0))%</f>
        <v>#N/A</v>
      </c>
      <c r="BL136" s="190">
        <v>0.92</v>
      </c>
      <c r="BM136" s="190"/>
      <c r="BN136" s="191"/>
      <c r="BO136" s="289" t="e">
        <f>ROUND(((($BT$6*$BW$5*(C136*0.001)*D136)/1000)/BM136), 2)</f>
        <v>#DIV/0!</v>
      </c>
      <c r="BP136" s="290" t="e">
        <f>ROUND((BO136/BK136),2)</f>
        <v>#DIV/0!</v>
      </c>
      <c r="BQ136" s="291" t="e">
        <f>ROUND((BP136/BL136), 2)</f>
        <v>#DIV/0!</v>
      </c>
      <c r="BR136" s="192"/>
    </row>
    <row r="137" spans="1:70" x14ac:dyDescent="0.3">
      <c r="A137" s="309"/>
      <c r="B137" s="309"/>
      <c r="C137" s="312"/>
      <c r="D137" s="164">
        <v>20</v>
      </c>
      <c r="E137" s="166"/>
      <c r="F137" s="146"/>
      <c r="G137" s="146"/>
      <c r="H137" s="147" t="e">
        <f>INDEX('WEG Motor'!$B$3:$AZ$55,
       MATCH(F137,'WEG Motor'!$A$3:$A$55,0),
       MATCH(G137,'WEG Motor'!$B$2:$AZ$2,0))%</f>
        <v>#N/A</v>
      </c>
      <c r="I137" s="147">
        <v>0.92</v>
      </c>
      <c r="J137" s="283"/>
      <c r="K137" s="148"/>
      <c r="L137" s="286" t="e">
        <f>ROUND(((($BT$6*$BW$5*(C136*0.001)*D137)/1000)/J137), 2)</f>
        <v>#DIV/0!</v>
      </c>
      <c r="M137" s="146" t="e">
        <f t="shared" ref="M137:M142" si="186">ROUND((L137/H137),2)</f>
        <v>#DIV/0!</v>
      </c>
      <c r="N137" s="237" t="e">
        <f t="shared" si="101"/>
        <v>#DIV/0!</v>
      </c>
      <c r="O137" s="167"/>
      <c r="P137" s="211"/>
      <c r="Q137" s="23"/>
      <c r="R137" s="23"/>
      <c r="S137" s="149" t="e">
        <f>INDEX('WEG Motor'!$B$3:$AZ$55,
       MATCH(Q137,'WEG Motor'!$A$3:$A$55,0),
       MATCH(R137,'WEG Motor'!$B$2:$AZ$2,0))%</f>
        <v>#N/A</v>
      </c>
      <c r="T137" s="149">
        <v>0.92</v>
      </c>
      <c r="U137" s="149"/>
      <c r="V137" s="150"/>
      <c r="W137" s="151" t="e">
        <f>ROUND(((($BT$6*$BW$5*(C136*0.001)*D137)/1000)/U137), 2)</f>
        <v>#DIV/0!</v>
      </c>
      <c r="X137" s="23" t="e">
        <f t="shared" ref="X137:X142" si="187">ROUND((W137/S137),2)</f>
        <v>#DIV/0!</v>
      </c>
      <c r="Y137" s="238" t="e">
        <f t="shared" si="103"/>
        <v>#DIV/0!</v>
      </c>
      <c r="Z137" s="212"/>
      <c r="AA137" s="217"/>
      <c r="AB137" s="24"/>
      <c r="AC137" s="24"/>
      <c r="AD137" s="152" t="e">
        <f>INDEX('WEG Motor'!$B$3:$AZ$55,
       MATCH(AB137,'WEG Motor'!$A$3:$A$55,0),
       MATCH(AC137,'WEG Motor'!$B$2:$AZ$2,0))%</f>
        <v>#N/A</v>
      </c>
      <c r="AE137" s="152">
        <v>0.92</v>
      </c>
      <c r="AF137" s="152"/>
      <c r="AG137" s="153"/>
      <c r="AH137" s="154" t="e">
        <f>ROUND(((($BT$6*$BW$5*(C136*0.001)*D137)/1000)/AF137), 2)</f>
        <v>#DIV/0!</v>
      </c>
      <c r="AI137" s="24" t="e">
        <f t="shared" ref="AI137:AI142" si="188">ROUND((AH137/AD137),2)</f>
        <v>#DIV/0!</v>
      </c>
      <c r="AJ137" s="239" t="e">
        <f t="shared" si="105"/>
        <v>#DIV/0!</v>
      </c>
      <c r="AK137" s="218"/>
      <c r="AL137" s="223" t="s">
        <v>65</v>
      </c>
      <c r="AM137" s="25">
        <v>45</v>
      </c>
      <c r="AN137" s="25" t="s">
        <v>35</v>
      </c>
      <c r="AO137" s="155">
        <f>INDEX('WEG Motor'!$B$3:$AZ$55,
       MATCH(AM137,'WEG Motor'!$A$3:$A$55,0),
       MATCH(AN137,'WEG Motor'!$B$2:$AZ$2,0))%</f>
        <v>0.94200000000000006</v>
      </c>
      <c r="AP137" s="155">
        <v>0.92</v>
      </c>
      <c r="AQ137" s="155">
        <v>0.79669999999999996</v>
      </c>
      <c r="AR137" s="156">
        <v>6.391</v>
      </c>
      <c r="AS137" s="157">
        <f>ROUND(((($BT$6*$BW$5*(C136*0.001)*D137)/1000)/AQ137), 2)</f>
        <v>35.450000000000003</v>
      </c>
      <c r="AT137" s="25">
        <f t="shared" ref="AT137:AT142" si="189">ROUND((AS137/AO137),2)</f>
        <v>37.630000000000003</v>
      </c>
      <c r="AU137" s="240">
        <f t="shared" si="107"/>
        <v>40.9</v>
      </c>
      <c r="AV137" s="224" t="s">
        <v>154</v>
      </c>
      <c r="AW137" s="229"/>
      <c r="AX137" s="12"/>
      <c r="AY137" s="12"/>
      <c r="AZ137" s="158" t="e">
        <f>INDEX('WEG Motor'!$B$3:$AZ$55,
       MATCH(AX137,'WEG Motor'!$A$3:$A$55,0),
       MATCH(AY137,'WEG Motor'!$B$2:$AZ$2,0))%</f>
        <v>#N/A</v>
      </c>
      <c r="BA137" s="158">
        <v>0.92</v>
      </c>
      <c r="BB137" s="158"/>
      <c r="BC137" s="159"/>
      <c r="BD137" s="160" t="e">
        <f>ROUND(((($BT$6*$BW$5*(C136*0.001)*D137)/1000)/BB137), 2)</f>
        <v>#DIV/0!</v>
      </c>
      <c r="BE137" s="12" t="e">
        <f t="shared" ref="BE137:BE142" si="190">ROUND((BD137/AZ137),2)</f>
        <v>#DIV/0!</v>
      </c>
      <c r="BF137" s="241" t="e">
        <f t="shared" si="109"/>
        <v>#DIV/0!</v>
      </c>
      <c r="BG137" s="230"/>
      <c r="BH137" s="234"/>
      <c r="BI137" s="22"/>
      <c r="BJ137" s="22"/>
      <c r="BK137" s="161" t="e">
        <f>INDEX('WEG Motor'!$B$3:$AZ$55,
       MATCH(BI137,'WEG Motor'!$A$3:$A$55,0),
       MATCH(BJ137,'WEG Motor'!$B$2:$AZ$2,0))%</f>
        <v>#N/A</v>
      </c>
      <c r="BL137" s="161">
        <v>0.92</v>
      </c>
      <c r="BM137" s="161"/>
      <c r="BN137" s="162"/>
      <c r="BO137" s="163" t="e">
        <f>ROUND(((($BT$6*$BW$5*(C136*0.001)*D137)/1000)/BM137), 2)</f>
        <v>#DIV/0!</v>
      </c>
      <c r="BP137" s="22" t="e">
        <f t="shared" ref="BP137:BP142" si="191">ROUND((BO137/BK137),2)</f>
        <v>#DIV/0!</v>
      </c>
      <c r="BQ137" s="242" t="e">
        <f t="shared" ref="BQ137:BQ142" si="192">ROUND((BP137/BL137), 2)</f>
        <v>#DIV/0!</v>
      </c>
      <c r="BR137" s="193"/>
    </row>
    <row r="138" spans="1:70" x14ac:dyDescent="0.3">
      <c r="A138" s="309"/>
      <c r="B138" s="309"/>
      <c r="C138" s="312"/>
      <c r="D138" s="164">
        <v>25</v>
      </c>
      <c r="E138" s="166"/>
      <c r="F138" s="146"/>
      <c r="G138" s="146"/>
      <c r="H138" s="147" t="e">
        <f>INDEX('WEG Motor'!$B$3:$AZ$55,
       MATCH(F138,'WEG Motor'!$A$3:$A$55,0),
       MATCH(G138,'WEG Motor'!$B$2:$AZ$2,0))%</f>
        <v>#N/A</v>
      </c>
      <c r="I138" s="147">
        <v>0.92</v>
      </c>
      <c r="J138" s="283"/>
      <c r="K138" s="148"/>
      <c r="L138" s="286" t="e">
        <f>ROUND(((($BT$6*$BW$5*(C136*0.001)*D138)/1000)/J138), 2)</f>
        <v>#DIV/0!</v>
      </c>
      <c r="M138" s="146" t="e">
        <f t="shared" si="186"/>
        <v>#DIV/0!</v>
      </c>
      <c r="N138" s="237" t="e">
        <f t="shared" ref="N138:N142" si="193">ROUND((M138/I138), 2)</f>
        <v>#DIV/0!</v>
      </c>
      <c r="O138" s="167"/>
      <c r="P138" s="211"/>
      <c r="Q138" s="23"/>
      <c r="R138" s="23"/>
      <c r="S138" s="149" t="e">
        <f>INDEX('WEG Motor'!$B$3:$AZ$55,
       MATCH(Q138,'WEG Motor'!$A$3:$A$55,0),
       MATCH(R138,'WEG Motor'!$B$2:$AZ$2,0))%</f>
        <v>#N/A</v>
      </c>
      <c r="T138" s="149">
        <v>0.92</v>
      </c>
      <c r="U138" s="149"/>
      <c r="V138" s="150"/>
      <c r="W138" s="151" t="e">
        <f>ROUND(((($BT$6*$BW$5*(C136*0.001)*D138)/1000)/U138), 2)</f>
        <v>#DIV/0!</v>
      </c>
      <c r="X138" s="23" t="e">
        <f t="shared" si="187"/>
        <v>#DIV/0!</v>
      </c>
      <c r="Y138" s="238" t="e">
        <f t="shared" ref="Y138:Y142" si="194">ROUND((X138/T138), 2)</f>
        <v>#DIV/0!</v>
      </c>
      <c r="Z138" s="212"/>
      <c r="AA138" s="217"/>
      <c r="AB138" s="24"/>
      <c r="AC138" s="24"/>
      <c r="AD138" s="152" t="e">
        <f>INDEX('WEG Motor'!$B$3:$AZ$55,
       MATCH(AB138,'WEG Motor'!$A$3:$A$55,0),
       MATCH(AC138,'WEG Motor'!$B$2:$AZ$2,0))%</f>
        <v>#N/A</v>
      </c>
      <c r="AE138" s="152">
        <v>0.92</v>
      </c>
      <c r="AF138" s="152"/>
      <c r="AG138" s="153"/>
      <c r="AH138" s="154" t="e">
        <f>ROUND(((($BT$6*$BW$5*(C136*0.001)*D138)/1000)/AF138), 2)</f>
        <v>#DIV/0!</v>
      </c>
      <c r="AI138" s="24" t="e">
        <f t="shared" si="188"/>
        <v>#DIV/0!</v>
      </c>
      <c r="AJ138" s="239" t="e">
        <f t="shared" ref="AJ138:AJ142" si="195">ROUND((AI138/AE138), 2)</f>
        <v>#DIV/0!</v>
      </c>
      <c r="AK138" s="218"/>
      <c r="AL138" s="223" t="s">
        <v>87</v>
      </c>
      <c r="AM138" s="25">
        <v>55</v>
      </c>
      <c r="AN138" s="25" t="s">
        <v>35</v>
      </c>
      <c r="AO138" s="155">
        <f>INDEX('WEG Motor'!$B$3:$AZ$55,
       MATCH(AM138,'WEG Motor'!$A$3:$A$55,0),
       MATCH(AN138,'WEG Motor'!$B$2:$AZ$2,0))%</f>
        <v>0.94599999999999995</v>
      </c>
      <c r="AP138" s="155">
        <v>0.92</v>
      </c>
      <c r="AQ138" s="155">
        <v>0.81859999999999999</v>
      </c>
      <c r="AR138" s="156">
        <v>6.391</v>
      </c>
      <c r="AS138" s="157">
        <f>ROUND(((($BT$6*$BW$5*(C136*0.001)*D138)/1000)/AQ138), 2)</f>
        <v>43.13</v>
      </c>
      <c r="AT138" s="25">
        <f t="shared" si="189"/>
        <v>45.59</v>
      </c>
      <c r="AU138" s="240">
        <f t="shared" ref="AU138:AU142" si="196">ROUND((AT138/AP138), 2)</f>
        <v>49.55</v>
      </c>
      <c r="AV138" s="224" t="s">
        <v>154</v>
      </c>
      <c r="AW138" s="229"/>
      <c r="AX138" s="12"/>
      <c r="AY138" s="12"/>
      <c r="AZ138" s="158" t="e">
        <f>INDEX('WEG Motor'!$B$3:$AZ$55,
       MATCH(AX138,'WEG Motor'!$A$3:$A$55,0),
       MATCH(AY138,'WEG Motor'!$B$2:$AZ$2,0))%</f>
        <v>#N/A</v>
      </c>
      <c r="BA138" s="158">
        <v>0.92</v>
      </c>
      <c r="BB138" s="158"/>
      <c r="BC138" s="159"/>
      <c r="BD138" s="160" t="e">
        <f>ROUND(((($BT$6*$BW$5*(C136*0.001)*D138)/1000)/BB138), 2)</f>
        <v>#DIV/0!</v>
      </c>
      <c r="BE138" s="12" t="e">
        <f t="shared" si="190"/>
        <v>#DIV/0!</v>
      </c>
      <c r="BF138" s="241" t="e">
        <f t="shared" ref="BF138:BF142" si="197">ROUND((BE138/BA138), 2)</f>
        <v>#DIV/0!</v>
      </c>
      <c r="BG138" s="230"/>
      <c r="BH138" s="234"/>
      <c r="BI138" s="22"/>
      <c r="BJ138" s="22"/>
      <c r="BK138" s="161" t="e">
        <f>INDEX('WEG Motor'!$B$3:$AZ$55,
       MATCH(BI138,'WEG Motor'!$A$3:$A$55,0),
       MATCH(BJ138,'WEG Motor'!$B$2:$AZ$2,0))%</f>
        <v>#N/A</v>
      </c>
      <c r="BL138" s="161">
        <v>0.92</v>
      </c>
      <c r="BM138" s="161"/>
      <c r="BN138" s="162"/>
      <c r="BO138" s="163" t="e">
        <f>ROUND(((($BT$6*$BW$5*(C136*0.001)*D138)/1000)/BM138), 2)</f>
        <v>#DIV/0!</v>
      </c>
      <c r="BP138" s="22" t="e">
        <f t="shared" si="191"/>
        <v>#DIV/0!</v>
      </c>
      <c r="BQ138" s="242" t="e">
        <f t="shared" si="192"/>
        <v>#DIV/0!</v>
      </c>
      <c r="BR138" s="193"/>
    </row>
    <row r="139" spans="1:70" ht="28.8" x14ac:dyDescent="0.3">
      <c r="A139" s="309"/>
      <c r="B139" s="309"/>
      <c r="C139" s="312"/>
      <c r="D139" s="164">
        <v>30</v>
      </c>
      <c r="E139" s="166"/>
      <c r="F139" s="146"/>
      <c r="G139" s="146"/>
      <c r="H139" s="147" t="e">
        <f>INDEX('WEG Motor'!$B$3:$AZ$55,
       MATCH(F139,'WEG Motor'!$A$3:$A$55,0),
       MATCH(G139,'WEG Motor'!$B$2:$AZ$2,0))%</f>
        <v>#N/A</v>
      </c>
      <c r="I139" s="147">
        <v>0.92</v>
      </c>
      <c r="J139" s="283"/>
      <c r="K139" s="148"/>
      <c r="L139" s="286" t="e">
        <f>ROUND(((($BT$6*$BW$5*(C136*0.001)*D139)/1000)/J139), 2)</f>
        <v>#DIV/0!</v>
      </c>
      <c r="M139" s="146" t="e">
        <f t="shared" si="186"/>
        <v>#DIV/0!</v>
      </c>
      <c r="N139" s="237" t="e">
        <f t="shared" si="193"/>
        <v>#DIV/0!</v>
      </c>
      <c r="O139" s="167"/>
      <c r="P139" s="211"/>
      <c r="Q139" s="23"/>
      <c r="R139" s="23"/>
      <c r="S139" s="149" t="e">
        <f>INDEX('WEG Motor'!$B$3:$AZ$55,
       MATCH(Q139,'WEG Motor'!$A$3:$A$55,0),
       MATCH(R139,'WEG Motor'!$B$2:$AZ$2,0))%</f>
        <v>#N/A</v>
      </c>
      <c r="T139" s="149">
        <v>0.92</v>
      </c>
      <c r="U139" s="149"/>
      <c r="V139" s="150"/>
      <c r="W139" s="151" t="e">
        <f>ROUND(((($BT$6*$BW$5*(C136*0.001)*D139)/1000)/U139), 2)</f>
        <v>#DIV/0!</v>
      </c>
      <c r="X139" s="23" t="e">
        <f t="shared" si="187"/>
        <v>#DIV/0!</v>
      </c>
      <c r="Y139" s="238" t="e">
        <f t="shared" si="194"/>
        <v>#DIV/0!</v>
      </c>
      <c r="Z139" s="212"/>
      <c r="AA139" s="217"/>
      <c r="AB139" s="24"/>
      <c r="AC139" s="24"/>
      <c r="AD139" s="152" t="e">
        <f>INDEX('WEG Motor'!$B$3:$AZ$55,
       MATCH(AB139,'WEG Motor'!$A$3:$A$55,0),
       MATCH(AC139,'WEG Motor'!$B$2:$AZ$2,0))%</f>
        <v>#N/A</v>
      </c>
      <c r="AE139" s="152">
        <v>0.92</v>
      </c>
      <c r="AF139" s="152"/>
      <c r="AG139" s="153"/>
      <c r="AH139" s="154" t="e">
        <f>ROUND(((($BT$6*$BW$5*(C136*0.001)*D139)/1000)/AF139), 2)</f>
        <v>#DIV/0!</v>
      </c>
      <c r="AI139" s="24" t="e">
        <f t="shared" si="188"/>
        <v>#DIV/0!</v>
      </c>
      <c r="AJ139" s="239" t="e">
        <f t="shared" si="195"/>
        <v>#DIV/0!</v>
      </c>
      <c r="AK139" s="218"/>
      <c r="AL139" s="346" t="s">
        <v>87</v>
      </c>
      <c r="AM139" s="98">
        <v>55</v>
      </c>
      <c r="AN139" s="98" t="s">
        <v>35</v>
      </c>
      <c r="AO139" s="347">
        <f>INDEX('WEG Motor'!$B$3:$AZ$55,
       MATCH(AM139,'WEG Motor'!$A$3:$A$55,0),
       MATCH(AN139,'WEG Motor'!$B$2:$AZ$2,0))%</f>
        <v>0.94599999999999995</v>
      </c>
      <c r="AP139" s="347">
        <v>0.92</v>
      </c>
      <c r="AQ139" s="347">
        <v>0.82379999999999998</v>
      </c>
      <c r="AR139" s="348">
        <v>6.3890000000000002</v>
      </c>
      <c r="AS139" s="349">
        <f>ROUND(((($BT$6*$BW$5*(C136*0.001)*D139)/1000)/AQ139), 2)</f>
        <v>51.43</v>
      </c>
      <c r="AT139" s="98">
        <f t="shared" si="189"/>
        <v>54.37</v>
      </c>
      <c r="AU139" s="350">
        <f t="shared" si="196"/>
        <v>59.1</v>
      </c>
      <c r="AV139" s="351" t="s">
        <v>156</v>
      </c>
      <c r="AW139" s="229"/>
      <c r="AX139" s="12"/>
      <c r="AY139" s="12"/>
      <c r="AZ139" s="158" t="e">
        <f>INDEX('WEG Motor'!$B$3:$AZ$55,
       MATCH(AX139,'WEG Motor'!$A$3:$A$55,0),
       MATCH(AY139,'WEG Motor'!$B$2:$AZ$2,0))%</f>
        <v>#N/A</v>
      </c>
      <c r="BA139" s="158">
        <v>0.92</v>
      </c>
      <c r="BB139" s="158"/>
      <c r="BC139" s="159"/>
      <c r="BD139" s="160" t="e">
        <f>ROUND(((($BT$6*$BW$5*(C136*0.001)*D139)/1000)/BB139), 2)</f>
        <v>#DIV/0!</v>
      </c>
      <c r="BE139" s="12" t="e">
        <f t="shared" si="190"/>
        <v>#DIV/0!</v>
      </c>
      <c r="BF139" s="241" t="e">
        <f t="shared" si="197"/>
        <v>#DIV/0!</v>
      </c>
      <c r="BG139" s="230"/>
      <c r="BH139" s="234"/>
      <c r="BI139" s="22"/>
      <c r="BJ139" s="22"/>
      <c r="BK139" s="161" t="e">
        <f>INDEX('WEG Motor'!$B$3:$AZ$55,
       MATCH(BI139,'WEG Motor'!$A$3:$A$55,0),
       MATCH(BJ139,'WEG Motor'!$B$2:$AZ$2,0))%</f>
        <v>#N/A</v>
      </c>
      <c r="BL139" s="161">
        <v>0.92</v>
      </c>
      <c r="BM139" s="161"/>
      <c r="BN139" s="162"/>
      <c r="BO139" s="163" t="e">
        <f>ROUND(((($BT$6*$BW$5*(C136*0.001)*D139)/1000)/BM139), 2)</f>
        <v>#DIV/0!</v>
      </c>
      <c r="BP139" s="22" t="e">
        <f t="shared" si="191"/>
        <v>#DIV/0!</v>
      </c>
      <c r="BQ139" s="242" t="e">
        <f t="shared" si="192"/>
        <v>#DIV/0!</v>
      </c>
      <c r="BR139" s="193"/>
    </row>
    <row r="140" spans="1:70" x14ac:dyDescent="0.3">
      <c r="A140" s="309"/>
      <c r="B140" s="309"/>
      <c r="C140" s="312"/>
      <c r="D140" s="164">
        <v>35</v>
      </c>
      <c r="E140" s="166"/>
      <c r="F140" s="146"/>
      <c r="G140" s="146"/>
      <c r="H140" s="147" t="e">
        <f>INDEX('WEG Motor'!$B$3:$AZ$55,
       MATCH(F140,'WEG Motor'!$A$3:$A$55,0),
       MATCH(G140,'WEG Motor'!$B$2:$AZ$2,0))%</f>
        <v>#N/A</v>
      </c>
      <c r="I140" s="147">
        <v>0.92</v>
      </c>
      <c r="J140" s="283"/>
      <c r="K140" s="148"/>
      <c r="L140" s="286" t="e">
        <f t="shared" ref="L140:L142" si="198">ROUND(((($BT$6*$BW$5*(C140*0.001)*D140)/1000)/J140), 2)</f>
        <v>#DIV/0!</v>
      </c>
      <c r="M140" s="146" t="e">
        <f t="shared" si="186"/>
        <v>#DIV/0!</v>
      </c>
      <c r="N140" s="237" t="e">
        <f t="shared" si="193"/>
        <v>#DIV/0!</v>
      </c>
      <c r="O140" s="167"/>
      <c r="P140" s="211"/>
      <c r="Q140" s="23"/>
      <c r="R140" s="23"/>
      <c r="S140" s="149" t="e">
        <f>INDEX('WEG Motor'!$B$3:$AZ$55,
       MATCH(Q140,'WEG Motor'!$A$3:$A$55,0),
       MATCH(R140,'WEG Motor'!$B$2:$AZ$2,0))%</f>
        <v>#N/A</v>
      </c>
      <c r="T140" s="149">
        <v>0.92</v>
      </c>
      <c r="U140" s="149"/>
      <c r="V140" s="150"/>
      <c r="W140" s="151" t="e">
        <f>ROUND(((($BT$6*$BW$5*(C136*0.001)*D140)/1000)/U140), 2)</f>
        <v>#DIV/0!</v>
      </c>
      <c r="X140" s="23" t="e">
        <f t="shared" si="187"/>
        <v>#DIV/0!</v>
      </c>
      <c r="Y140" s="238" t="e">
        <f t="shared" si="194"/>
        <v>#DIV/0!</v>
      </c>
      <c r="Z140" s="212"/>
      <c r="AA140" s="217"/>
      <c r="AB140" s="24"/>
      <c r="AC140" s="24"/>
      <c r="AD140" s="152" t="e">
        <f>INDEX('WEG Motor'!$B$3:$AZ$55,
       MATCH(AB140,'WEG Motor'!$A$3:$A$55,0),
       MATCH(AC140,'WEG Motor'!$B$2:$AZ$2,0))%</f>
        <v>#N/A</v>
      </c>
      <c r="AE140" s="152">
        <v>0.92</v>
      </c>
      <c r="AF140" s="152"/>
      <c r="AG140" s="153"/>
      <c r="AH140" s="154" t="e">
        <f>ROUND(((($BT$6*$BW$5*(C136*0.001)*D140)/1000)/AF140), 2)</f>
        <v>#DIV/0!</v>
      </c>
      <c r="AI140" s="24" t="e">
        <f t="shared" si="188"/>
        <v>#DIV/0!</v>
      </c>
      <c r="AJ140" s="239" t="e">
        <f t="shared" si="195"/>
        <v>#DIV/0!</v>
      </c>
      <c r="AK140" s="218"/>
      <c r="AL140" s="223" t="s">
        <v>155</v>
      </c>
      <c r="AM140" s="25">
        <v>75</v>
      </c>
      <c r="AN140" s="25" t="s">
        <v>35</v>
      </c>
      <c r="AO140" s="155">
        <f>INDEX('WEG Motor'!$B$3:$AZ$55,
       MATCH(AM140,'WEG Motor'!$A$3:$A$55,0),
       MATCH(AN140,'WEG Motor'!$B$2:$AZ$2,0))%</f>
        <v>0.95</v>
      </c>
      <c r="AP140" s="155">
        <v>0.92</v>
      </c>
      <c r="AQ140" s="155">
        <v>0.82099999999999995</v>
      </c>
      <c r="AR140" s="156">
        <v>5.8959999999999999</v>
      </c>
      <c r="AS140" s="157">
        <f>ROUND(((($BT$6*$BW$5*(C136*0.001)*D140)/1000)/AQ140), 2)</f>
        <v>60.21</v>
      </c>
      <c r="AT140" s="25">
        <f t="shared" si="189"/>
        <v>63.38</v>
      </c>
      <c r="AU140" s="240">
        <f t="shared" si="196"/>
        <v>68.89</v>
      </c>
      <c r="AV140" s="224" t="s">
        <v>154</v>
      </c>
      <c r="AW140" s="229"/>
      <c r="AX140" s="12"/>
      <c r="AY140" s="12"/>
      <c r="AZ140" s="158" t="e">
        <f>INDEX('WEG Motor'!$B$3:$AZ$55,
       MATCH(AX140,'WEG Motor'!$A$3:$A$55,0),
       MATCH(AY140,'WEG Motor'!$B$2:$AZ$2,0))%</f>
        <v>#N/A</v>
      </c>
      <c r="BA140" s="158">
        <v>0.92</v>
      </c>
      <c r="BB140" s="158"/>
      <c r="BC140" s="159"/>
      <c r="BD140" s="160" t="e">
        <f>ROUND(((($BT$6*$BW$5*(C136*0.001)*D140)/1000)/BB140), 2)</f>
        <v>#DIV/0!</v>
      </c>
      <c r="BE140" s="12" t="e">
        <f t="shared" si="190"/>
        <v>#DIV/0!</v>
      </c>
      <c r="BF140" s="241" t="e">
        <f t="shared" si="197"/>
        <v>#DIV/0!</v>
      </c>
      <c r="BG140" s="230"/>
      <c r="BH140" s="234"/>
      <c r="BI140" s="22"/>
      <c r="BJ140" s="22"/>
      <c r="BK140" s="161" t="e">
        <f>INDEX('WEG Motor'!$B$3:$AZ$55,
       MATCH(BI140,'WEG Motor'!$A$3:$A$55,0),
       MATCH(BJ140,'WEG Motor'!$B$2:$AZ$2,0))%</f>
        <v>#N/A</v>
      </c>
      <c r="BL140" s="161">
        <v>0.92</v>
      </c>
      <c r="BM140" s="161"/>
      <c r="BN140" s="162"/>
      <c r="BO140" s="163" t="e">
        <f>ROUND(((($BT$6*$BW$5*(C136*0.001)*D140)/1000)/BM140), 2)</f>
        <v>#DIV/0!</v>
      </c>
      <c r="BP140" s="22" t="e">
        <f t="shared" si="191"/>
        <v>#DIV/0!</v>
      </c>
      <c r="BQ140" s="242" t="e">
        <f t="shared" si="192"/>
        <v>#DIV/0!</v>
      </c>
      <c r="BR140" s="193"/>
    </row>
    <row r="141" spans="1:70" x14ac:dyDescent="0.3">
      <c r="A141" s="309"/>
      <c r="B141" s="309"/>
      <c r="C141" s="312"/>
      <c r="D141" s="164">
        <v>40</v>
      </c>
      <c r="E141" s="166"/>
      <c r="F141" s="146"/>
      <c r="G141" s="146"/>
      <c r="H141" s="147" t="e">
        <f>INDEX('WEG Motor'!$B$3:$AZ$55,
       MATCH(F141,'WEG Motor'!$A$3:$A$55,0),
       MATCH(G141,'WEG Motor'!$B$2:$AZ$2,0))%</f>
        <v>#N/A</v>
      </c>
      <c r="I141" s="147">
        <v>0.92</v>
      </c>
      <c r="J141" s="283"/>
      <c r="K141" s="148"/>
      <c r="L141" s="286" t="e">
        <f>ROUND(((($BT$6*$BW$5*(C136*0.001)*D141)/1000)/J141), 2)</f>
        <v>#DIV/0!</v>
      </c>
      <c r="M141" s="146" t="e">
        <f t="shared" si="186"/>
        <v>#DIV/0!</v>
      </c>
      <c r="N141" s="237" t="e">
        <f t="shared" si="193"/>
        <v>#DIV/0!</v>
      </c>
      <c r="O141" s="167"/>
      <c r="P141" s="211"/>
      <c r="Q141" s="23"/>
      <c r="R141" s="23"/>
      <c r="S141" s="149" t="e">
        <f>INDEX('WEG Motor'!$B$3:$AZ$55,
       MATCH(Q141,'WEG Motor'!$A$3:$A$55,0),
       MATCH(R141,'WEG Motor'!$B$2:$AZ$2,0))%</f>
        <v>#N/A</v>
      </c>
      <c r="T141" s="149">
        <v>0.92</v>
      </c>
      <c r="U141" s="149"/>
      <c r="V141" s="150"/>
      <c r="W141" s="151" t="e">
        <f>ROUND(((($BT$6*$BW$5*(C136*0.001)*D141)/1000)/U141), 2)</f>
        <v>#DIV/0!</v>
      </c>
      <c r="X141" s="23" t="e">
        <f t="shared" si="187"/>
        <v>#DIV/0!</v>
      </c>
      <c r="Y141" s="238" t="e">
        <f t="shared" si="194"/>
        <v>#DIV/0!</v>
      </c>
      <c r="Z141" s="212"/>
      <c r="AA141" s="217"/>
      <c r="AB141" s="24"/>
      <c r="AC141" s="24"/>
      <c r="AD141" s="152" t="e">
        <f>INDEX('WEG Motor'!$B$3:$AZ$55,
       MATCH(AB141,'WEG Motor'!$A$3:$A$55,0),
       MATCH(AC141,'WEG Motor'!$B$2:$AZ$2,0))%</f>
        <v>#N/A</v>
      </c>
      <c r="AE141" s="152">
        <v>0.92</v>
      </c>
      <c r="AF141" s="152"/>
      <c r="AG141" s="153"/>
      <c r="AH141" s="154" t="e">
        <f>ROUND(((($BT$6*$BW$5*(C136*0.001)*D141)/1000)/AF141), 2)</f>
        <v>#DIV/0!</v>
      </c>
      <c r="AI141" s="24" t="e">
        <f t="shared" si="188"/>
        <v>#DIV/0!</v>
      </c>
      <c r="AJ141" s="239" t="e">
        <f t="shared" si="195"/>
        <v>#DIV/0!</v>
      </c>
      <c r="AK141" s="218"/>
      <c r="AL141" s="223"/>
      <c r="AM141" s="25"/>
      <c r="AN141" s="25"/>
      <c r="AO141" s="155" t="e">
        <f>INDEX('WEG Motor'!$B$3:$AZ$55,
       MATCH(AM141,'WEG Motor'!$A$3:$A$55,0),
       MATCH(AN141,'WEG Motor'!$B$2:$AZ$2,0))%</f>
        <v>#N/A</v>
      </c>
      <c r="AP141" s="155">
        <v>0.92</v>
      </c>
      <c r="AQ141" s="155"/>
      <c r="AR141" s="156"/>
      <c r="AS141" s="157" t="e">
        <f>ROUND(((($BT$6*$BW$5*(C136*0.001)*D141)/1000)/AQ141), 2)</f>
        <v>#DIV/0!</v>
      </c>
      <c r="AT141" s="25" t="e">
        <f t="shared" si="189"/>
        <v>#DIV/0!</v>
      </c>
      <c r="AU141" s="240" t="e">
        <f t="shared" si="196"/>
        <v>#DIV/0!</v>
      </c>
      <c r="AV141" s="224" t="s">
        <v>153</v>
      </c>
      <c r="AW141" s="229"/>
      <c r="AX141" s="12"/>
      <c r="AY141" s="12"/>
      <c r="AZ141" s="158" t="e">
        <f>INDEX('WEG Motor'!$B$3:$AZ$55,
       MATCH(AX141,'WEG Motor'!$A$3:$A$55,0),
       MATCH(AY141,'WEG Motor'!$B$2:$AZ$2,0))%</f>
        <v>#N/A</v>
      </c>
      <c r="BA141" s="158">
        <v>0.92</v>
      </c>
      <c r="BB141" s="158"/>
      <c r="BC141" s="159"/>
      <c r="BD141" s="160" t="e">
        <f>ROUND(((($BT$6*$BW$5*(C136*0.001)*D141)/1000)/BB141), 2)</f>
        <v>#DIV/0!</v>
      </c>
      <c r="BE141" s="12" t="e">
        <f t="shared" si="190"/>
        <v>#DIV/0!</v>
      </c>
      <c r="BF141" s="241" t="e">
        <f t="shared" si="197"/>
        <v>#DIV/0!</v>
      </c>
      <c r="BG141" s="230"/>
      <c r="BH141" s="234"/>
      <c r="BI141" s="22"/>
      <c r="BJ141" s="22"/>
      <c r="BK141" s="161" t="e">
        <f>INDEX('WEG Motor'!$B$3:$AZ$55,
       MATCH(BI141,'WEG Motor'!$A$3:$A$55,0),
       MATCH(BJ141,'WEG Motor'!$B$2:$AZ$2,0))%</f>
        <v>#N/A</v>
      </c>
      <c r="BL141" s="161">
        <v>0.92</v>
      </c>
      <c r="BM141" s="161"/>
      <c r="BN141" s="162"/>
      <c r="BO141" s="163" t="e">
        <f>ROUND(((($BT$6*$BW$5*(C136*0.001)*D141)/1000)/BM141), 2)</f>
        <v>#DIV/0!</v>
      </c>
      <c r="BP141" s="22" t="e">
        <f t="shared" si="191"/>
        <v>#DIV/0!</v>
      </c>
      <c r="BQ141" s="242" t="e">
        <f t="shared" si="192"/>
        <v>#DIV/0!</v>
      </c>
      <c r="BR141" s="193"/>
    </row>
    <row r="142" spans="1:70" ht="15" thickBot="1" x14ac:dyDescent="0.35">
      <c r="A142" s="310"/>
      <c r="B142" s="310"/>
      <c r="C142" s="313"/>
      <c r="D142" s="165">
        <v>45</v>
      </c>
      <c r="E142" s="168"/>
      <c r="F142" s="169"/>
      <c r="G142" s="169"/>
      <c r="H142" s="170" t="e">
        <f>INDEX('WEG Motor'!$B$3:$AZ$55,
       MATCH(F142,'WEG Motor'!$A$3:$A$55,0),
       MATCH(G142,'WEG Motor'!$B$2:$AZ$2,0))%</f>
        <v>#N/A</v>
      </c>
      <c r="I142" s="170">
        <v>0.92</v>
      </c>
      <c r="J142" s="284"/>
      <c r="K142" s="171"/>
      <c r="L142" s="287" t="e">
        <f>ROUND(((($BT$6*$BW$5*(C136*0.001)*D142)/1000)/J142), 2)</f>
        <v>#DIV/0!</v>
      </c>
      <c r="M142" s="169" t="e">
        <f t="shared" si="186"/>
        <v>#DIV/0!</v>
      </c>
      <c r="N142" s="247" t="e">
        <f t="shared" si="193"/>
        <v>#DIV/0!</v>
      </c>
      <c r="O142" s="172"/>
      <c r="P142" s="213"/>
      <c r="Q142" s="194"/>
      <c r="R142" s="194"/>
      <c r="S142" s="195" t="e">
        <f>INDEX('WEG Motor'!$B$3:$AZ$55,
       MATCH(Q142,'WEG Motor'!$A$3:$A$55,0),
       MATCH(R142,'WEG Motor'!$B$2:$AZ$2,0))%</f>
        <v>#N/A</v>
      </c>
      <c r="T142" s="195">
        <v>0.92</v>
      </c>
      <c r="U142" s="195"/>
      <c r="V142" s="196"/>
      <c r="W142" s="140" t="e">
        <f>ROUND(((($BT$6*$BW$5*(C136*0.001)*D142)/1000)/U142), 2)</f>
        <v>#DIV/0!</v>
      </c>
      <c r="X142" s="194" t="e">
        <f t="shared" si="187"/>
        <v>#DIV/0!</v>
      </c>
      <c r="Y142" s="246" t="e">
        <f t="shared" si="194"/>
        <v>#DIV/0!</v>
      </c>
      <c r="Z142" s="214"/>
      <c r="AA142" s="219"/>
      <c r="AB142" s="197"/>
      <c r="AC142" s="197"/>
      <c r="AD142" s="198" t="e">
        <f>INDEX('WEG Motor'!$B$3:$AZ$55,
       MATCH(AB142,'WEG Motor'!$A$3:$A$55,0),
       MATCH(AC142,'WEG Motor'!$B$2:$AZ$2,0))%</f>
        <v>#N/A</v>
      </c>
      <c r="AE142" s="198">
        <v>0.92</v>
      </c>
      <c r="AF142" s="198"/>
      <c r="AG142" s="199"/>
      <c r="AH142" s="141" t="e">
        <f>ROUND(((($BT$6*$BW$5*(C136*0.001)*D142)/1000)/AF142), 2)</f>
        <v>#DIV/0!</v>
      </c>
      <c r="AI142" s="197" t="e">
        <f t="shared" si="188"/>
        <v>#DIV/0!</v>
      </c>
      <c r="AJ142" s="245" t="e">
        <f t="shared" si="195"/>
        <v>#DIV/0!</v>
      </c>
      <c r="AK142" s="220"/>
      <c r="AL142" s="225"/>
      <c r="AM142" s="200"/>
      <c r="AN142" s="200"/>
      <c r="AO142" s="201" t="e">
        <f>INDEX('WEG Motor'!$B$3:$AZ$55,
       MATCH(AM142,'WEG Motor'!$A$3:$A$55,0),
       MATCH(AN142,'WEG Motor'!$B$2:$AZ$2,0))%</f>
        <v>#N/A</v>
      </c>
      <c r="AP142" s="201">
        <v>0.92</v>
      </c>
      <c r="AQ142" s="201"/>
      <c r="AR142" s="202"/>
      <c r="AS142" s="142" t="e">
        <f>ROUND(((($BT$6*$BW$5*(C136*0.001)*D142)/1000)/AQ142), 2)</f>
        <v>#DIV/0!</v>
      </c>
      <c r="AT142" s="200" t="e">
        <f t="shared" si="189"/>
        <v>#DIV/0!</v>
      </c>
      <c r="AU142" s="244" t="e">
        <f t="shared" si="196"/>
        <v>#DIV/0!</v>
      </c>
      <c r="AV142" s="226" t="s">
        <v>153</v>
      </c>
      <c r="AW142" s="231"/>
      <c r="AX142" s="203"/>
      <c r="AY142" s="203"/>
      <c r="AZ142" s="204" t="e">
        <f>INDEX('WEG Motor'!$B$3:$AZ$55,
       MATCH(AX142,'WEG Motor'!$A$3:$A$55,0),
       MATCH(AY142,'WEG Motor'!$B$2:$AZ$2,0))%</f>
        <v>#N/A</v>
      </c>
      <c r="BA142" s="204">
        <v>0.92</v>
      </c>
      <c r="BB142" s="204"/>
      <c r="BC142" s="205"/>
      <c r="BD142" s="143" t="e">
        <f>ROUND(((($BT$6*$BW$5*(C136*0.001)*D142)/1000)/BB142), 2)</f>
        <v>#DIV/0!</v>
      </c>
      <c r="BE142" s="203" t="e">
        <f t="shared" si="190"/>
        <v>#DIV/0!</v>
      </c>
      <c r="BF142" s="243" t="e">
        <f t="shared" si="197"/>
        <v>#DIV/0!</v>
      </c>
      <c r="BG142" s="232"/>
      <c r="BH142" s="235"/>
      <c r="BI142" s="66"/>
      <c r="BJ142" s="66"/>
      <c r="BK142" s="206" t="e">
        <f>INDEX('WEG Motor'!$B$3:$AZ$55,
       MATCH(BI142,'WEG Motor'!$A$3:$A$55,0),
       MATCH(BJ142,'WEG Motor'!$B$2:$AZ$2,0))%</f>
        <v>#N/A</v>
      </c>
      <c r="BL142" s="206">
        <v>0.92</v>
      </c>
      <c r="BM142" s="206"/>
      <c r="BN142" s="207"/>
      <c r="BO142" s="144" t="e">
        <f>ROUND(((($BT$6*$BW$5*(C136*0.001)*D142)/1000)/BM142), 2)</f>
        <v>#DIV/0!</v>
      </c>
      <c r="BP142" s="292" t="e">
        <f t="shared" si="191"/>
        <v>#DIV/0!</v>
      </c>
      <c r="BQ142" s="293" t="e">
        <f t="shared" si="192"/>
        <v>#DIV/0!</v>
      </c>
      <c r="BR142" s="208"/>
    </row>
  </sheetData>
  <autoFilter ref="E2:BR142" xr:uid="{19DDD95C-5D1E-469A-892D-F6E352E88C67}"/>
  <mergeCells count="70">
    <mergeCell ref="A129:A135"/>
    <mergeCell ref="B129:B135"/>
    <mergeCell ref="C129:C135"/>
    <mergeCell ref="A136:A142"/>
    <mergeCell ref="B136:B142"/>
    <mergeCell ref="C136:C142"/>
    <mergeCell ref="A115:A121"/>
    <mergeCell ref="B115:B121"/>
    <mergeCell ref="C115:C121"/>
    <mergeCell ref="A122:A128"/>
    <mergeCell ref="B122:B128"/>
    <mergeCell ref="C122:C128"/>
    <mergeCell ref="A101:A107"/>
    <mergeCell ref="B101:B107"/>
    <mergeCell ref="C101:C107"/>
    <mergeCell ref="A108:A114"/>
    <mergeCell ref="B108:B114"/>
    <mergeCell ref="C108:C114"/>
    <mergeCell ref="A87:A93"/>
    <mergeCell ref="B87:B93"/>
    <mergeCell ref="C87:C93"/>
    <mergeCell ref="A94:A100"/>
    <mergeCell ref="B94:B100"/>
    <mergeCell ref="C94:C100"/>
    <mergeCell ref="A3:A9"/>
    <mergeCell ref="A10:A16"/>
    <mergeCell ref="C10:C16"/>
    <mergeCell ref="B3:B9"/>
    <mergeCell ref="C3:C9"/>
    <mergeCell ref="B10:B16"/>
    <mergeCell ref="BH1:BR1"/>
    <mergeCell ref="A17:A23"/>
    <mergeCell ref="B17:B23"/>
    <mergeCell ref="C17:C23"/>
    <mergeCell ref="A24:A30"/>
    <mergeCell ref="B24:B30"/>
    <mergeCell ref="C24:C30"/>
    <mergeCell ref="E1:O1"/>
    <mergeCell ref="P1:Z1"/>
    <mergeCell ref="AA1:AK1"/>
    <mergeCell ref="AL1:AV1"/>
    <mergeCell ref="AW1:BG1"/>
    <mergeCell ref="A1:A2"/>
    <mergeCell ref="B1:B2"/>
    <mergeCell ref="C1:C2"/>
    <mergeCell ref="D1:D2"/>
    <mergeCell ref="A31:A37"/>
    <mergeCell ref="B31:B37"/>
    <mergeCell ref="C31:C37"/>
    <mergeCell ref="A38:A44"/>
    <mergeCell ref="B38:B44"/>
    <mergeCell ref="C38:C44"/>
    <mergeCell ref="A45:A51"/>
    <mergeCell ref="B45:B51"/>
    <mergeCell ref="C45:C51"/>
    <mergeCell ref="A52:A58"/>
    <mergeCell ref="B52:B58"/>
    <mergeCell ref="C52:C58"/>
    <mergeCell ref="A59:A65"/>
    <mergeCell ref="B59:B65"/>
    <mergeCell ref="C59:C65"/>
    <mergeCell ref="A66:A72"/>
    <mergeCell ref="B66:B72"/>
    <mergeCell ref="C66:C72"/>
    <mergeCell ref="A73:A79"/>
    <mergeCell ref="B73:B79"/>
    <mergeCell ref="C73:C79"/>
    <mergeCell ref="A80:A86"/>
    <mergeCell ref="B80:B86"/>
    <mergeCell ref="C80:C86"/>
  </mergeCells>
  <conditionalFormatting sqref="K3:K142">
    <cfRule type="cellIs" dxfId="11" priority="1" operator="greaterThan">
      <formula>5.1</formula>
    </cfRule>
    <cfRule type="cellIs" dxfId="10" priority="2" operator="greaterThan">
      <formula>5</formula>
    </cfRule>
  </conditionalFormatting>
  <conditionalFormatting sqref="V3:V142">
    <cfRule type="cellIs" dxfId="9" priority="20" operator="greaterThan">
      <formula>5.1</formula>
    </cfRule>
    <cfRule type="cellIs" dxfId="8" priority="21" operator="greaterThan">
      <formula>5</formula>
    </cfRule>
  </conditionalFormatting>
  <conditionalFormatting sqref="AG3:AG142">
    <cfRule type="cellIs" dxfId="7" priority="18" operator="greaterThan">
      <formula>5.1</formula>
    </cfRule>
    <cfRule type="cellIs" dxfId="6" priority="19" operator="greaterThan">
      <formula>5</formula>
    </cfRule>
  </conditionalFormatting>
  <conditionalFormatting sqref="AR3:AR142">
    <cfRule type="cellIs" dxfId="5" priority="16" operator="greaterThan">
      <formula>5.1</formula>
    </cfRule>
    <cfRule type="cellIs" dxfId="4" priority="17" operator="greaterThan">
      <formula>5</formula>
    </cfRule>
  </conditionalFormatting>
  <conditionalFormatting sqref="BC3:BC142">
    <cfRule type="cellIs" dxfId="3" priority="14" operator="greaterThan">
      <formula>5.1</formula>
    </cfRule>
    <cfRule type="cellIs" dxfId="2" priority="15" operator="greaterThan">
      <formula>5</formula>
    </cfRule>
  </conditionalFormatting>
  <conditionalFormatting sqref="BN3:BN142">
    <cfRule type="cellIs" dxfId="1" priority="12" operator="greaterThan">
      <formula>5.1</formula>
    </cfRule>
    <cfRule type="cellIs" dxfId="0" priority="13" operator="greaterThan">
      <formula>5</formula>
    </cfRule>
  </conditionalFormatting>
  <dataValidations count="1">
    <dataValidation type="list" allowBlank="1" showInputMessage="1" showErrorMessage="1" sqref="BJ3:BJ142 G3:G142 R3:R142 AC3:AC142 AN3:AN142 AY3:AY142" xr:uid="{E0EE33AC-2FC1-40FB-9AA9-B86D5C927ECE}">
      <formula1>Poles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B19E-05C7-4B04-A9C8-652122AD9CFF}">
  <dimension ref="A1:C42"/>
  <sheetViews>
    <sheetView workbookViewId="0">
      <selection activeCell="G23" sqref="G23"/>
    </sheetView>
  </sheetViews>
  <sheetFormatPr defaultRowHeight="14.4" x14ac:dyDescent="0.3"/>
  <cols>
    <col min="1" max="1" width="8.77734375" customWidth="1"/>
    <col min="2" max="2" width="8.88671875" style="1" customWidth="1"/>
  </cols>
  <sheetData>
    <row r="1" spans="1:3" x14ac:dyDescent="0.3">
      <c r="A1" s="336" t="s">
        <v>36</v>
      </c>
      <c r="B1" s="337"/>
      <c r="C1" s="338"/>
    </row>
    <row r="2" spans="1:3" x14ac:dyDescent="0.3">
      <c r="A2" s="35" t="s">
        <v>33</v>
      </c>
      <c r="B2" s="5" t="s">
        <v>34</v>
      </c>
      <c r="C2" s="5" t="s">
        <v>35</v>
      </c>
    </row>
    <row r="3" spans="1:3" x14ac:dyDescent="0.3">
      <c r="A3" s="36">
        <v>0.12</v>
      </c>
      <c r="B3" s="5">
        <v>0</v>
      </c>
      <c r="C3" s="5">
        <v>0</v>
      </c>
    </row>
    <row r="4" spans="1:3" x14ac:dyDescent="0.3">
      <c r="A4" s="36">
        <v>0.18</v>
      </c>
      <c r="B4" s="5">
        <v>0</v>
      </c>
      <c r="C4" s="5">
        <v>0</v>
      </c>
    </row>
    <row r="5" spans="1:3" x14ac:dyDescent="0.3">
      <c r="A5" s="36">
        <v>0.25</v>
      </c>
      <c r="B5" s="5">
        <v>0</v>
      </c>
      <c r="C5" s="5">
        <v>0</v>
      </c>
    </row>
    <row r="6" spans="1:3" x14ac:dyDescent="0.3">
      <c r="A6" s="36">
        <v>0.37</v>
      </c>
      <c r="B6" s="5">
        <v>0</v>
      </c>
      <c r="C6" s="5">
        <v>0</v>
      </c>
    </row>
    <row r="7" spans="1:3" x14ac:dyDescent="0.3">
      <c r="A7" s="36">
        <v>0.55000000000000004</v>
      </c>
      <c r="B7" s="5">
        <v>0</v>
      </c>
      <c r="C7" s="5">
        <v>80.8</v>
      </c>
    </row>
    <row r="8" spans="1:3" x14ac:dyDescent="0.3">
      <c r="A8" s="36">
        <v>0.75</v>
      </c>
      <c r="B8" s="5">
        <v>82</v>
      </c>
      <c r="C8" s="5">
        <v>82.5</v>
      </c>
    </row>
    <row r="9" spans="1:3" x14ac:dyDescent="0.3">
      <c r="A9" s="36">
        <v>1.1000000000000001</v>
      </c>
      <c r="B9" s="5">
        <v>83</v>
      </c>
      <c r="C9" s="5">
        <v>84.8</v>
      </c>
    </row>
    <row r="10" spans="1:3" x14ac:dyDescent="0.3">
      <c r="A10" s="36">
        <v>1.5</v>
      </c>
      <c r="B10" s="5">
        <v>84.5</v>
      </c>
      <c r="C10" s="5">
        <v>86</v>
      </c>
    </row>
    <row r="11" spans="1:3" x14ac:dyDescent="0.3">
      <c r="A11" s="36">
        <v>2.2000000000000002</v>
      </c>
      <c r="B11" s="5">
        <v>86</v>
      </c>
      <c r="C11" s="5">
        <v>87</v>
      </c>
    </row>
    <row r="12" spans="1:3" x14ac:dyDescent="0.3">
      <c r="A12" s="36">
        <v>3</v>
      </c>
      <c r="B12" s="5">
        <v>87.2</v>
      </c>
      <c r="C12" s="5">
        <v>88</v>
      </c>
    </row>
    <row r="13" spans="1:3" x14ac:dyDescent="0.3">
      <c r="A13" s="36">
        <v>4</v>
      </c>
      <c r="B13" s="5">
        <v>88.3</v>
      </c>
      <c r="C13" s="5">
        <v>88.8</v>
      </c>
    </row>
    <row r="14" spans="1:3" x14ac:dyDescent="0.3">
      <c r="A14" s="36">
        <v>5.5</v>
      </c>
      <c r="B14" s="5">
        <v>89.2</v>
      </c>
      <c r="C14" s="5">
        <v>89.8</v>
      </c>
    </row>
    <row r="15" spans="1:3" x14ac:dyDescent="0.3">
      <c r="A15" s="36">
        <v>7.5</v>
      </c>
      <c r="B15" s="5">
        <v>90.1</v>
      </c>
      <c r="C15" s="5">
        <v>90.6</v>
      </c>
    </row>
    <row r="16" spans="1:3" x14ac:dyDescent="0.3">
      <c r="A16" s="36">
        <v>9.1999999999999993</v>
      </c>
      <c r="B16" s="5">
        <v>91</v>
      </c>
      <c r="C16" s="5">
        <v>0</v>
      </c>
    </row>
    <row r="17" spans="1:3" x14ac:dyDescent="0.3">
      <c r="A17" s="36">
        <v>11</v>
      </c>
      <c r="B17" s="5">
        <v>91.2</v>
      </c>
      <c r="C17" s="5">
        <v>91.4</v>
      </c>
    </row>
    <row r="18" spans="1:3" x14ac:dyDescent="0.3">
      <c r="A18" s="36">
        <v>15</v>
      </c>
      <c r="B18" s="5">
        <v>91.9</v>
      </c>
      <c r="C18" s="5">
        <v>92.1</v>
      </c>
    </row>
    <row r="19" spans="1:3" x14ac:dyDescent="0.3">
      <c r="A19" s="36">
        <v>18.5</v>
      </c>
      <c r="B19" s="5">
        <v>92.4</v>
      </c>
      <c r="C19" s="5">
        <v>92.6</v>
      </c>
    </row>
    <row r="20" spans="1:3" x14ac:dyDescent="0.3">
      <c r="A20" s="36">
        <v>22</v>
      </c>
      <c r="B20" s="5">
        <v>92.7</v>
      </c>
      <c r="C20" s="5">
        <v>93.1</v>
      </c>
    </row>
    <row r="21" spans="1:3" x14ac:dyDescent="0.3">
      <c r="A21" s="36">
        <v>30</v>
      </c>
      <c r="B21" s="5">
        <v>93.3</v>
      </c>
      <c r="C21" s="5">
        <v>93.6</v>
      </c>
    </row>
    <row r="22" spans="1:3" x14ac:dyDescent="0.3">
      <c r="A22" s="36">
        <v>37</v>
      </c>
      <c r="B22" s="5">
        <v>93.7</v>
      </c>
      <c r="C22" s="5">
        <v>93.9</v>
      </c>
    </row>
    <row r="23" spans="1:3" x14ac:dyDescent="0.3">
      <c r="A23" s="36">
        <v>45</v>
      </c>
      <c r="B23" s="5">
        <v>94.3</v>
      </c>
      <c r="C23" s="5">
        <v>94.2</v>
      </c>
    </row>
    <row r="24" spans="1:3" x14ac:dyDescent="0.3">
      <c r="A24" s="36">
        <v>55</v>
      </c>
      <c r="B24" s="5">
        <v>94.3</v>
      </c>
      <c r="C24" s="5">
        <v>94.6</v>
      </c>
    </row>
    <row r="25" spans="1:3" x14ac:dyDescent="0.3">
      <c r="A25" s="36">
        <v>75</v>
      </c>
      <c r="B25" s="5">
        <v>94.7</v>
      </c>
      <c r="C25" s="5">
        <v>95</v>
      </c>
    </row>
    <row r="26" spans="1:3" x14ac:dyDescent="0.3">
      <c r="A26" s="36">
        <v>90</v>
      </c>
      <c r="B26" s="5">
        <v>95</v>
      </c>
      <c r="C26" s="5">
        <v>95.2</v>
      </c>
    </row>
    <row r="27" spans="1:3" x14ac:dyDescent="0.3">
      <c r="A27" s="36">
        <v>110</v>
      </c>
      <c r="B27" s="5">
        <v>95.2</v>
      </c>
      <c r="C27" s="5">
        <v>95.4</v>
      </c>
    </row>
    <row r="28" spans="1:3" x14ac:dyDescent="0.3">
      <c r="A28" s="36">
        <v>132</v>
      </c>
      <c r="B28" s="5">
        <v>95.6</v>
      </c>
      <c r="C28" s="5">
        <v>95.7</v>
      </c>
    </row>
    <row r="29" spans="1:3" x14ac:dyDescent="0.3">
      <c r="A29" s="36">
        <v>150</v>
      </c>
      <c r="B29" s="5">
        <v>0</v>
      </c>
      <c r="C29" s="5">
        <v>0</v>
      </c>
    </row>
    <row r="30" spans="1:3" x14ac:dyDescent="0.3">
      <c r="A30" s="36">
        <v>160</v>
      </c>
      <c r="B30" s="5">
        <v>95.8</v>
      </c>
      <c r="C30" s="5">
        <v>95.9</v>
      </c>
    </row>
    <row r="31" spans="1:3" x14ac:dyDescent="0.3">
      <c r="A31" s="36">
        <v>185</v>
      </c>
      <c r="B31" s="5">
        <v>0</v>
      </c>
      <c r="C31" s="5">
        <v>0</v>
      </c>
    </row>
    <row r="32" spans="1:3" x14ac:dyDescent="0.3">
      <c r="A32" s="36">
        <v>200</v>
      </c>
      <c r="B32" s="5">
        <v>95.8</v>
      </c>
      <c r="C32" s="5">
        <v>96</v>
      </c>
    </row>
    <row r="33" spans="1:3" x14ac:dyDescent="0.3">
      <c r="A33" s="36">
        <v>200</v>
      </c>
      <c r="B33" s="5">
        <v>0</v>
      </c>
      <c r="C33" s="5">
        <v>0</v>
      </c>
    </row>
    <row r="34" spans="1:3" x14ac:dyDescent="0.3">
      <c r="A34" s="36">
        <v>220</v>
      </c>
      <c r="B34" s="5">
        <v>0</v>
      </c>
      <c r="C34" s="5">
        <v>0</v>
      </c>
    </row>
    <row r="35" spans="1:3" x14ac:dyDescent="0.3">
      <c r="A35" s="36">
        <v>250</v>
      </c>
      <c r="B35" s="5">
        <v>0</v>
      </c>
      <c r="C35" s="5">
        <v>96.2</v>
      </c>
    </row>
    <row r="36" spans="1:3" x14ac:dyDescent="0.3">
      <c r="A36" s="36">
        <v>260</v>
      </c>
      <c r="B36" s="5">
        <v>0</v>
      </c>
      <c r="C36" s="5">
        <v>0</v>
      </c>
    </row>
    <row r="37" spans="1:3" x14ac:dyDescent="0.3">
      <c r="A37" s="36">
        <v>280</v>
      </c>
      <c r="B37" s="5">
        <v>0</v>
      </c>
      <c r="C37" s="5">
        <v>0</v>
      </c>
    </row>
    <row r="38" spans="1:3" x14ac:dyDescent="0.3">
      <c r="A38" s="36">
        <v>300</v>
      </c>
      <c r="B38" s="5">
        <v>0</v>
      </c>
      <c r="C38" s="5">
        <v>96.3</v>
      </c>
    </row>
    <row r="39" spans="1:3" x14ac:dyDescent="0.3">
      <c r="A39" s="36">
        <v>315</v>
      </c>
      <c r="B39" s="5">
        <v>0</v>
      </c>
      <c r="C39" s="5">
        <v>96.3</v>
      </c>
    </row>
    <row r="40" spans="1:3" x14ac:dyDescent="0.3">
      <c r="A40" s="36">
        <v>330</v>
      </c>
      <c r="B40" s="5">
        <v>0</v>
      </c>
      <c r="C40" s="5">
        <v>0</v>
      </c>
    </row>
    <row r="41" spans="1:3" x14ac:dyDescent="0.3">
      <c r="A41" s="36">
        <v>355</v>
      </c>
      <c r="B41" s="5">
        <v>0</v>
      </c>
      <c r="C41" s="5">
        <v>0</v>
      </c>
    </row>
    <row r="42" spans="1:3" x14ac:dyDescent="0.3">
      <c r="A42" s="36">
        <v>375</v>
      </c>
      <c r="B42" s="5">
        <v>0</v>
      </c>
      <c r="C42" s="5">
        <v>0</v>
      </c>
    </row>
  </sheetData>
  <mergeCells count="1">
    <mergeCell ref="A1:C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288a38-ff19-432c-8011-1cd9d0dff445}" enabled="0" method="" siteId="{39288a38-ff19-432c-8011-1cd9d0df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Chilled Water Pump (349)</vt:lpstr>
      <vt:lpstr>Condenser Water Pump (301)</vt:lpstr>
      <vt:lpstr>Pump Heads Selection</vt:lpstr>
      <vt:lpstr>WEG Motor</vt:lpstr>
      <vt:lpstr>Poles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Bautista Remz</dc:creator>
  <cp:keywords/>
  <dc:description/>
  <cp:lastModifiedBy>Koh Ze Kai</cp:lastModifiedBy>
  <cp:revision/>
  <dcterms:created xsi:type="dcterms:W3CDTF">2025-08-25T01:26:29Z</dcterms:created>
  <dcterms:modified xsi:type="dcterms:W3CDTF">2025-12-05T09:38:29Z</dcterms:modified>
  <cp:category/>
  <cp:contentStatus/>
</cp:coreProperties>
</file>